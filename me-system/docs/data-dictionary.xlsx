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Fields" sheetId="3" state="visible" r:id="rId3"/>
    <sheet xmlns:r="http://schemas.openxmlformats.org/officeDocument/2006/relationships" name="Allowed values" sheetId="4" state="visible" r:id="rId4"/>
    <sheet xmlns:r="http://schemas.openxmlformats.org/officeDocument/2006/relationships" name="Rules" sheetId="5" state="visible" r:id="rId5"/>
    <sheet xmlns:r="http://schemas.openxmlformats.org/officeDocument/2006/relationships" name="Open questions" sheetId="6" state="visible" r:id="rId6"/>
  </sheets>
  <definedNames>
    <definedName name="_xlnm._FilterDatabase" localSheetId="1" hidden="1">'Tables'!$A$1:$J$30</definedName>
    <definedName name="_xlnm._FilterDatabase" localSheetId="2" hidden="1">'Fields'!$A$1:$K$241</definedName>
    <definedName name="_xlnm._FilterDatabase" localSheetId="3" hidden="1">'Allowed values'!$A$1:$C$44</definedName>
    <definedName name="_xlnm._FilterDatabase" localSheetId="4" hidden="1">'Rules'!$A$1:$C$19</definedName>
    <definedName name="_xlnm._FilterDatabase" localSheetId="5" hidden="1">'Open questions'!$A$1:$E$9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D70B8"/>
      <sz val="14"/>
    </font>
    <font>
      <name val="Arial"/>
      <color rgb="000B0C0C"/>
      <sz val="10"/>
    </font>
    <font>
      <name val="Arial"/>
      <b val="1"/>
      <color rgb="000B0C0C"/>
      <sz val="11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D70B8"/>
      </patternFill>
    </fill>
    <fill>
      <patternFill patternType="solid">
        <fgColor rgb="00D2E2F1"/>
      </patternFill>
    </fill>
    <fill>
      <patternFill patternType="solid">
        <fgColor rgb="00D0E6E7"/>
      </patternFill>
    </fill>
    <fill>
      <patternFill patternType="solid">
        <fgColor rgb="00CFE4DC"/>
      </patternFill>
    </fill>
    <fill>
      <patternFill patternType="solid">
        <fgColor rgb="00DDD6EC"/>
      </patternFill>
    </fill>
    <fill>
      <patternFill patternType="solid">
        <fgColor rgb="00FFF8CC"/>
      </patternFill>
    </fill>
    <fill>
      <patternFill patternType="solid">
        <fgColor rgb="00FDE4D7"/>
      </patternFill>
    </fill>
    <fill>
      <patternFill patternType="solid">
        <fgColor rgb="00F3F3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ECECE"/>
      </left>
      <right style="thin">
        <color rgb="00CECECE"/>
      </right>
      <top style="thin">
        <color rgb="00CECECE"/>
      </top>
      <bottom style="thin">
        <color rgb="00CECEC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5" fillId="11" borderId="1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M&amp;E System</author>
  </authors>
  <commentList>
    <comment ref="A1" authorId="0" shapeId="0">
      <text>
        <t>Rows with Table '(every table)' are the common fields present on all tables.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zoomScale="10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Monitoring and Evaluation System: data dictionary (Level 3)</t>
        </is>
      </c>
    </row>
    <row r="2">
      <c r="A2" s="2" t="inlineStr">
        <is>
          <t>Draft v0.1 · 27 Sep 2026 · for review by the MoC M&amp;E Secretariat. Nothing has been created in a database yet.</t>
        </is>
      </c>
    </row>
    <row r="3">
      <c r="A3" s="2" t="inlineStr"/>
    </row>
    <row r="4">
      <c r="A4" s="3" t="inlineStr">
        <is>
          <t>What this is</t>
        </is>
      </c>
    </row>
    <row r="5">
      <c r="A5" s="2" t="inlineStr">
        <is>
          <t>Every table and field the platform's database will hold, with a real example from the National Cashew Policy workspace. Table names match the Level 2 diagram in Figma.</t>
        </is>
      </c>
    </row>
    <row r="6">
      <c r="A6" s="2" t="inlineStr"/>
    </row>
    <row r="7">
      <c r="A7" s="3" t="inlineStr">
        <is>
          <t>How to review</t>
        </is>
      </c>
    </row>
    <row r="8">
      <c r="A8" s="2" t="inlineStr">
        <is>
          <t>1. Read the 'Tables' sheet for the overall picture (29 tables in 8 families).</t>
        </is>
      </c>
    </row>
    <row r="9">
      <c r="A9" s="2" t="inlineStr">
        <is>
          <t>2. On the 'Fields' sheet, filter by Family or Table. Write comments in the yellow 'Reviewer comment' column (the only column to edit).</t>
        </is>
      </c>
    </row>
    <row r="10">
      <c r="A10" s="2" t="inlineStr">
        <is>
          <t>3. Check 'Allowed values' and 'Rules' for workflow and calculation rules.</t>
        </is>
      </c>
    </row>
    <row r="11">
      <c r="A11" s="2" t="inlineStr">
        <is>
          <t>4. Answer the 'Open questions' sheet (yellow cells).</t>
        </is>
      </c>
    </row>
    <row r="12">
      <c r="A12" s="2" t="inlineStr"/>
    </row>
    <row r="13">
      <c r="A13" s="3" t="inlineStr">
        <is>
          <t>Column guide (Fields sheet)</t>
        </is>
      </c>
    </row>
    <row r="14">
      <c r="A14" s="2" t="inlineStr">
        <is>
          <t>Key: PK = unique ID of the row · FK = link to another table (see References) · UK = must be unique (within the rule shown).</t>
        </is>
      </c>
    </row>
    <row r="15">
      <c r="A15" s="2" t="inlineStr">
        <is>
          <t>Required: Y = must always have a value · N = may be empty. Empty means 'no data', never zero.</t>
        </is>
      </c>
    </row>
    <row r="16">
      <c r="A16" s="2" t="inlineStr">
        <is>
          <t>Type: text, integer, numeric (exact decimals), boolean (true/false), date, timestamptz (date + time, stored in UTC), uuid (generated ID), jsonb (structured data).</t>
        </is>
      </c>
    </row>
    <row r="17">
      <c r="A17" s="2" t="inlineStr"/>
    </row>
    <row r="18">
      <c r="A18" s="3" t="inlineStr">
        <is>
          <t>Conventions for every table</t>
        </is>
      </c>
    </row>
    <row r="19">
      <c r="A19" s="2" t="inlineStr">
        <is>
          <t>Every table has the 6 common fields listed first on the Fields sheet (id, workspace_id, created_at, created_by, updated_at, row_version). They are not repeated per table.</t>
        </is>
      </c>
    </row>
    <row r="20">
      <c r="A20" s="2" t="inlineStr">
        <is>
          <t>Records are archived or deactivated, not deleted. review_events and audit_events are insert-only.</t>
        </is>
      </c>
    </row>
    <row r="21">
      <c r="A21" s="2" t="inlineStr"/>
    </row>
    <row r="22">
      <c r="A22" s="3" t="inlineStr">
        <is>
          <t>Colour legend</t>
        </is>
      </c>
    </row>
    <row r="23">
      <c r="A23" s="4" t="inlineStr">
        <is>
          <t>Yellow cells = for reviewers to fill in. Coloured Family/Table cells match the family colours in the Figma diagram.</t>
        </is>
      </c>
    </row>
    <row r="24">
      <c r="A24" s="2" t="inlineStr"/>
    </row>
    <row r="25">
      <c r="A25" s="3" t="inlineStr">
        <is>
          <t>Sources</t>
        </is>
      </c>
    </row>
    <row r="26">
      <c r="A26" s="2" t="inlineStr">
        <is>
          <t>Platform specification v1.0 and engineering contracts (24 Sep 2026); Cashew Action-Level workbook v5, Outcome workbook v12, Kobo XLSForm v10, Monitoring System Manual v3, MTR final draft; owner decisions on roles (26 Sep 2026).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zoomScale="100" workbookViewId="0">
      <pane xSplit="3" ySplit="1" topLeftCell="D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18" customWidth="1" min="4" max="4"/>
    <col width="50" customWidth="1" min="5" max="5"/>
    <col width="36" customWidth="1" min="6" max="6"/>
    <col width="14" customWidth="1" min="7" max="7"/>
    <col width="11" customWidth="1" min="8" max="8"/>
    <col width="12" customWidth="1" min="9" max="9"/>
    <col width="34" customWidth="1" min="10" max="10"/>
  </cols>
  <sheetData>
    <row r="1">
      <c r="A1" s="5" t="inlineStr">
        <is>
          <t>#</t>
        </is>
      </c>
      <c r="B1" s="5" t="inlineStr">
        <is>
          <t>Family</t>
        </is>
      </c>
      <c r="C1" s="5" t="inlineStr">
        <is>
          <t>Table (database name)</t>
        </is>
      </c>
      <c r="D1" s="5" t="inlineStr">
        <is>
          <t>Diagram name</t>
        </is>
      </c>
      <c r="E1" s="5" t="inlineStr">
        <is>
          <t>Purpose</t>
        </is>
      </c>
      <c r="F1" s="5" t="inlineStr">
        <is>
          <t>Cashew example</t>
        </is>
      </c>
      <c r="G1" s="5" t="inlineStr">
        <is>
          <t>Pilot size (rows)</t>
        </is>
      </c>
      <c r="H1" s="5" t="inlineStr">
        <is>
          <t>Fields (own)</t>
        </is>
      </c>
      <c r="I1" s="5" t="inlineStr">
        <is>
          <t>Fields incl. common</t>
        </is>
      </c>
      <c r="J1" s="5" t="inlineStr">
        <is>
          <t>Reviewer comment</t>
        </is>
      </c>
    </row>
    <row r="2">
      <c r="A2" s="6" t="n">
        <v>1</v>
      </c>
      <c r="B2" s="7" t="inlineStr">
        <is>
          <t>Structure</t>
        </is>
      </c>
      <c r="C2" s="6" t="inlineStr">
        <is>
          <t>workspaces</t>
        </is>
      </c>
      <c r="D2" s="6" t="inlineStr">
        <is>
          <t>new in Level 3</t>
        </is>
      </c>
      <c r="E2" s="6" t="inlineStr">
        <is>
          <t>One isolated customer environment. Every other table belongs to exactly one workspace.</t>
        </is>
      </c>
      <c r="F2" s="6" t="inlineStr">
        <is>
          <t>Cashew Policy M&amp;E (MoC)</t>
        </is>
      </c>
      <c r="G2" s="6" t="inlineStr">
        <is>
          <t>1</t>
        </is>
      </c>
      <c r="H2" s="6">
        <f>COUNTIF(Fields!$B$2:$B$400,C2)</f>
        <v/>
      </c>
      <c r="I2" s="6">
        <f>H2+5</f>
        <v/>
      </c>
      <c r="J2" s="8" t="n"/>
    </row>
    <row r="3">
      <c r="A3" s="6" t="n">
        <v>2</v>
      </c>
      <c r="B3" s="7" t="inlineStr">
        <is>
          <t>Structure</t>
        </is>
      </c>
      <c r="C3" s="6" t="inlineStr">
        <is>
          <t>policies</t>
        </is>
      </c>
      <c r="D3" s="6" t="inlineStr">
        <is>
          <t>POLICY</t>
        </is>
      </c>
      <c r="E3" s="6" t="inlineStr">
        <is>
          <t>A policy being monitored.</t>
        </is>
      </c>
      <c r="F3" s="6" t="inlineStr">
        <is>
          <t>NCP-2022 National Cashew Policy 2022–2027</t>
        </is>
      </c>
      <c r="G3" s="6" t="inlineStr">
        <is>
          <t>1</t>
        </is>
      </c>
      <c r="H3" s="6">
        <f>COUNTIF(Fields!$B$2:$B$400,C3)</f>
        <v/>
      </c>
      <c r="I3" s="6">
        <f>H3+6</f>
        <v/>
      </c>
      <c r="J3" s="8" t="n"/>
    </row>
    <row r="4">
      <c r="A4" s="6" t="n">
        <v>3</v>
      </c>
      <c r="B4" s="7" t="inlineStr">
        <is>
          <t>Structure</t>
        </is>
      </c>
      <c r="C4" s="6" t="inlineStr">
        <is>
          <t>goals</t>
        </is>
      </c>
      <c r="D4" s="6" t="inlineStr">
        <is>
          <t>GOAL</t>
        </is>
      </c>
      <c r="E4" s="6" t="inlineStr">
        <is>
          <t>A goal (objective) of a policy.</t>
        </is>
      </c>
      <c r="F4" s="6" t="inlineStr">
        <is>
          <t>G2 Promote industrialisation: 25% processed by 2027</t>
        </is>
      </c>
      <c r="G4" s="6" t="inlineStr">
        <is>
          <t>3</t>
        </is>
      </c>
      <c r="H4" s="6">
        <f>COUNTIF(Fields!$B$2:$B$400,C4)</f>
        <v/>
      </c>
      <c r="I4" s="6">
        <f>H4+6</f>
        <v/>
      </c>
      <c r="J4" s="8" t="n"/>
    </row>
    <row r="5">
      <c r="A5" s="6" t="n">
        <v>4</v>
      </c>
      <c r="B5" s="7" t="inlineStr">
        <is>
          <t>Structure</t>
        </is>
      </c>
      <c r="C5" s="6" t="inlineStr">
        <is>
          <t>clusters</t>
        </is>
      </c>
      <c r="D5" s="6" t="inlineStr">
        <is>
          <t>CLUSTER</t>
        </is>
      </c>
      <c r="E5" s="6" t="inlineStr">
        <is>
          <t>A group of actions delivering one goal.</t>
        </is>
      </c>
      <c r="F5" s="6" t="inlineStr">
        <is>
          <t>processing (actions 18–28)</t>
        </is>
      </c>
      <c r="G5" s="6" t="inlineStr">
        <is>
          <t>3</t>
        </is>
      </c>
      <c r="H5" s="6">
        <f>COUNTIF(Fields!$B$2:$B$400,C5)</f>
        <v/>
      </c>
      <c r="I5" s="6">
        <f>H5+6</f>
        <v/>
      </c>
      <c r="J5" s="8" t="n"/>
    </row>
    <row r="6">
      <c r="A6" s="6" t="n">
        <v>5</v>
      </c>
      <c r="B6" s="7" t="inlineStr">
        <is>
          <t>Structure</t>
        </is>
      </c>
      <c r="C6" s="6" t="inlineStr">
        <is>
          <t>ministries</t>
        </is>
      </c>
      <c r="D6" s="6" t="inlineStr">
        <is>
          <t>MINISTRY</t>
        </is>
      </c>
      <c r="E6" s="6" t="inlineStr">
        <is>
          <t>A ministry or institution that implements or reports.</t>
        </is>
      </c>
      <c r="F6" s="6" t="inlineStr">
        <is>
          <t>maff · MAFF</t>
        </is>
      </c>
      <c r="G6" s="6" t="inlineStr">
        <is>
          <t>18</t>
        </is>
      </c>
      <c r="H6" s="6">
        <f>COUNTIF(Fields!$B$2:$B$400,C6)</f>
        <v/>
      </c>
      <c r="I6" s="6">
        <f>H6+6</f>
        <v/>
      </c>
      <c r="J6" s="8" t="n"/>
    </row>
    <row r="7">
      <c r="A7" s="6" t="n">
        <v>6</v>
      </c>
      <c r="B7" s="7" t="inlineStr">
        <is>
          <t>Structure</t>
        </is>
      </c>
      <c r="C7" s="6" t="inlineStr">
        <is>
          <t>programmes</t>
        </is>
      </c>
      <c r="D7" s="6" t="inlineStr">
        <is>
          <t>PROGRAMME</t>
        </is>
      </c>
      <c r="E7" s="6" t="inlineStr">
        <is>
          <t>One programme per ministry under a policy; owns the actions that ministry leads.</t>
        </is>
      </c>
      <c r="F7" s="6" t="inlineStr">
        <is>
          <t>PRG-MAFF</t>
        </is>
      </c>
      <c r="G7" s="6" t="inlineStr">
        <is>
          <t>17</t>
        </is>
      </c>
      <c r="H7" s="6">
        <f>COUNTIF(Fields!$B$2:$B$400,C7)</f>
        <v/>
      </c>
      <c r="I7" s="6">
        <f>H7+6</f>
        <v/>
      </c>
      <c r="J7" s="8" t="n"/>
    </row>
    <row r="8">
      <c r="A8" s="6" t="n">
        <v>7</v>
      </c>
      <c r="B8" s="7" t="inlineStr">
        <is>
          <t>Structure</t>
        </is>
      </c>
      <c r="C8" s="6" t="inlineStr">
        <is>
          <t>actions</t>
        </is>
      </c>
      <c r="D8" s="6" t="inlineStr">
        <is>
          <t>ACTION</t>
        </is>
      </c>
      <c r="E8" s="6" t="inlineStr">
        <is>
          <t>A policy action (the platform's 'project').</t>
        </is>
      </c>
      <c r="F8" s="6" t="inlineStr">
        <is>
          <t>ACT-02 Research on cashew varieties</t>
        </is>
      </c>
      <c r="G8" s="6" t="inlineStr">
        <is>
          <t>44</t>
        </is>
      </c>
      <c r="H8" s="6">
        <f>COUNTIF(Fields!$B$2:$B$400,C8)</f>
        <v/>
      </c>
      <c r="I8" s="6">
        <f>H8+6</f>
        <v/>
      </c>
      <c r="J8" s="8" t="n"/>
    </row>
    <row r="9">
      <c r="A9" s="6" t="n">
        <v>8</v>
      </c>
      <c r="B9" s="7" t="inlineStr">
        <is>
          <t>Structure</t>
        </is>
      </c>
      <c r="C9" s="6" t="inlineStr">
        <is>
          <t>action_ministries</t>
        </is>
      </c>
      <c r="D9" s="6" t="inlineStr">
        <is>
          <t>ACTION_MINISTRY</t>
        </is>
      </c>
      <c r="E9" s="6" t="inlineStr">
        <is>
          <t>Which ministries lead or contribute to an action.</t>
        </is>
      </c>
      <c r="F9" s="6" t="inlineStr">
        <is>
          <t>ACT-05 · moe · contributing</t>
        </is>
      </c>
      <c r="G9" s="6" t="inlineStr">
        <is>
          <t>~60</t>
        </is>
      </c>
      <c r="H9" s="6">
        <f>COUNTIF(Fields!$B$2:$B$400,C9)</f>
        <v/>
      </c>
      <c r="I9" s="6">
        <f>H9+6</f>
        <v/>
      </c>
      <c r="J9" s="8" t="n"/>
    </row>
    <row r="10">
      <c r="A10" s="6" t="n">
        <v>9</v>
      </c>
      <c r="B10" s="9" t="inlineStr">
        <is>
          <t>Indicators</t>
        </is>
      </c>
      <c r="C10" s="6" t="inlineStr">
        <is>
          <t>indicators</t>
        </is>
      </c>
      <c r="D10" s="6" t="inlineStr">
        <is>
          <t>INDICATOR</t>
        </is>
      </c>
      <c r="E10" s="6" t="inlineStr">
        <is>
          <t>Stable identity of an indicator (action or outcome level).</t>
        </is>
      </c>
      <c r="F10" s="6" t="inlineStr">
        <is>
          <t>AI-002 New cashew varieties released</t>
        </is>
      </c>
      <c r="G10" s="6" t="inlineStr">
        <is>
          <t>121</t>
        </is>
      </c>
      <c r="H10" s="6">
        <f>COUNTIF(Fields!$B$2:$B$400,C10)</f>
        <v/>
      </c>
      <c r="I10" s="6">
        <f>H10+6</f>
        <v/>
      </c>
      <c r="J10" s="8" t="n"/>
    </row>
    <row r="11">
      <c r="A11" s="6" t="n">
        <v>10</v>
      </c>
      <c r="B11" s="9" t="inlineStr">
        <is>
          <t>Indicators</t>
        </is>
      </c>
      <c r="C11" s="6" t="inlineStr">
        <is>
          <t>indicator_versions</t>
        </is>
      </c>
      <c r="D11" s="6" t="inlineStr">
        <is>
          <t>INDICATOR_VERSION</t>
        </is>
      </c>
      <c r="E11" s="6" t="inlineStr">
        <is>
          <t>The definition of an indicator at a point in time. A change of meaning creates a new version.</t>
        </is>
      </c>
      <c r="F11" s="6" t="inlineStr">
        <is>
          <t>AI-002 v1 · count to target · varieties</t>
        </is>
      </c>
      <c r="G11" s="6" t="inlineStr">
        <is>
          <t>121+</t>
        </is>
      </c>
      <c r="H11" s="6">
        <f>COUNTIF(Fields!$B$2:$B$400,C11)</f>
        <v/>
      </c>
      <c r="I11" s="6">
        <f>H11+6</f>
        <v/>
      </c>
      <c r="J11" s="8" t="n"/>
    </row>
    <row r="12">
      <c r="A12" s="6" t="n">
        <v>11</v>
      </c>
      <c r="B12" s="9" t="inlineStr">
        <is>
          <t>Indicators</t>
        </is>
      </c>
      <c r="C12" s="6" t="inlineStr">
        <is>
          <t>targets</t>
        </is>
      </c>
      <c r="D12" s="6" t="inlineStr">
        <is>
          <t>TARGET</t>
        </is>
      </c>
      <c r="E12" s="6" t="inlineStr">
        <is>
          <t>Target value for an indicator and year, with revision history.</t>
        </is>
      </c>
      <c r="F12" s="6" t="inlineStr">
        <is>
          <t>AI-002 · 2027 · 7</t>
        </is>
      </c>
      <c r="G12" s="6" t="inlineStr">
        <is>
          <t>108+</t>
        </is>
      </c>
      <c r="H12" s="6">
        <f>COUNTIF(Fields!$B$2:$B$400,C12)</f>
        <v/>
      </c>
      <c r="I12" s="6">
        <f>H12+6</f>
        <v/>
      </c>
      <c r="J12" s="8" t="n"/>
    </row>
    <row r="13">
      <c r="A13" s="6" t="n">
        <v>12</v>
      </c>
      <c r="B13" s="9" t="inlineStr">
        <is>
          <t>Indicators</t>
        </is>
      </c>
      <c r="C13" s="6" t="inlineStr">
        <is>
          <t>baselines</t>
        </is>
      </c>
      <c r="D13" s="6" t="inlineStr">
        <is>
          <t>BASELINE</t>
        </is>
      </c>
      <c r="E13" s="6" t="inlineStr">
        <is>
          <t>Starting value for an indicator, or the reason it is unknown.</t>
        </is>
      </c>
      <c r="F13" s="6" t="inlineStr">
        <is>
          <t>P2 · 2022 · 508,283 t</t>
        </is>
      </c>
      <c r="G13" s="6" t="inlineStr">
        <is>
          <t>13+</t>
        </is>
      </c>
      <c r="H13" s="6">
        <f>COUNTIF(Fields!$B$2:$B$400,C13)</f>
        <v/>
      </c>
      <c r="I13" s="6">
        <f>H13+6</f>
        <v/>
      </c>
      <c r="J13" s="8" t="n"/>
    </row>
    <row r="14">
      <c r="A14" s="6" t="n">
        <v>13</v>
      </c>
      <c r="B14" s="9" t="inlineStr">
        <is>
          <t>Indicators</t>
        </is>
      </c>
      <c r="C14" s="6" t="inlineStr">
        <is>
          <t>reporting_years</t>
        </is>
      </c>
      <c r="D14" s="6" t="inlineStr">
        <is>
          <t>REPORTING_YEAR</t>
        </is>
      </c>
      <c r="E14" s="6" t="inlineStr">
        <is>
          <t>A reporting period with its deadline and status thresholds.</t>
        </is>
      </c>
      <c r="F14" s="6" t="inlineStr">
        <is>
          <t>2026 · largely ≥ 70% · due 31 Mar 2027</t>
        </is>
      </c>
      <c r="G14" s="6" t="inlineStr">
        <is>
          <t>4</t>
        </is>
      </c>
      <c r="H14" s="6">
        <f>COUNTIF(Fields!$B$2:$B$400,C14)</f>
        <v/>
      </c>
      <c r="I14" s="6">
        <f>H14+6</f>
        <v/>
      </c>
      <c r="J14" s="8" t="n"/>
    </row>
    <row r="15">
      <c r="A15" s="6" t="n">
        <v>14</v>
      </c>
      <c r="B15" s="10" t="inlineStr">
        <is>
          <t>Collection</t>
        </is>
      </c>
      <c r="C15" s="6" t="inlineStr">
        <is>
          <t>forms</t>
        </is>
      </c>
      <c r="D15" s="6" t="inlineStr">
        <is>
          <t>FORM</t>
        </is>
      </c>
      <c r="E15" s="6" t="inlineStr">
        <is>
          <t>A data collection form (native or Kobo).</t>
        </is>
      </c>
      <c r="F15" s="6" t="inlineStr">
        <is>
          <t>cashew-indicator-report</t>
        </is>
      </c>
      <c r="G15" s="6" t="inlineStr">
        <is>
          <t>2</t>
        </is>
      </c>
      <c r="H15" s="6">
        <f>COUNTIF(Fields!$B$2:$B$400,C15)</f>
        <v/>
      </c>
      <c r="I15" s="6">
        <f>H15+6</f>
        <v/>
      </c>
      <c r="J15" s="8" t="n"/>
    </row>
    <row r="16">
      <c r="A16" s="6" t="n">
        <v>15</v>
      </c>
      <c r="B16" s="10" t="inlineStr">
        <is>
          <t>Collection</t>
        </is>
      </c>
      <c r="C16" s="6" t="inlineStr">
        <is>
          <t>form_versions</t>
        </is>
      </c>
      <c r="D16" s="6" t="inlineStr">
        <is>
          <t>FORM_VERSION</t>
        </is>
      </c>
      <c r="E16" s="6" t="inlineStr">
        <is>
          <t>A published, frozen version of a form.</t>
        </is>
      </c>
      <c r="F16" s="6" t="inlineStr">
        <is>
          <t>v2026051204</t>
        </is>
      </c>
      <c r="G16" s="6" t="inlineStr">
        <is>
          <t>2+</t>
        </is>
      </c>
      <c r="H16" s="6">
        <f>COUNTIF(Fields!$B$2:$B$400,C16)</f>
        <v/>
      </c>
      <c r="I16" s="6">
        <f>H16+6</f>
        <v/>
      </c>
      <c r="J16" s="8" t="n"/>
    </row>
    <row r="17">
      <c r="A17" s="6" t="n">
        <v>16</v>
      </c>
      <c r="B17" s="10" t="inlineStr">
        <is>
          <t>Collection</t>
        </is>
      </c>
      <c r="C17" s="6" t="inlineStr">
        <is>
          <t>questions</t>
        </is>
      </c>
      <c r="D17" s="6" t="inlineStr">
        <is>
          <t>QUESTION</t>
        </is>
      </c>
      <c r="E17" s="6" t="inlineStr">
        <is>
          <t>One question in a form version, with English and Khmer labels.</t>
        </is>
      </c>
      <c r="F17" s="6" t="inlineStr">
        <is>
          <t>ind_002_value</t>
        </is>
      </c>
      <c r="G17" s="6" t="inlineStr">
        <is>
          <t>~650</t>
        </is>
      </c>
      <c r="H17" s="6">
        <f>COUNTIF(Fields!$B$2:$B$400,C17)</f>
        <v/>
      </c>
      <c r="I17" s="6">
        <f>H17+6</f>
        <v/>
      </c>
      <c r="J17" s="8" t="n"/>
    </row>
    <row r="18">
      <c r="A18" s="6" t="n">
        <v>17</v>
      </c>
      <c r="B18" s="10" t="inlineStr">
        <is>
          <t>Collection</t>
        </is>
      </c>
      <c r="C18" s="6" t="inlineStr">
        <is>
          <t>submissions</t>
        </is>
      </c>
      <c r="D18" s="6" t="inlineStr">
        <is>
          <t>SUBMISSION</t>
        </is>
      </c>
      <c r="E18" s="6" t="inlineStr">
        <is>
          <t>One ministry's report for one reporting year.</t>
        </is>
      </c>
      <c r="F18" s="6" t="inlineStr">
        <is>
          <t>RY2025-MAFF</t>
        </is>
      </c>
      <c r="G18" s="6" t="inlineStr">
        <is>
          <t>17 / year</t>
        </is>
      </c>
      <c r="H18" s="6">
        <f>COUNTIF(Fields!$B$2:$B$400,C18)</f>
        <v/>
      </c>
      <c r="I18" s="6">
        <f>H18+6</f>
        <v/>
      </c>
      <c r="J18" s="8" t="n"/>
    </row>
    <row r="19">
      <c r="A19" s="6" t="n">
        <v>18</v>
      </c>
      <c r="B19" s="10" t="inlineStr">
        <is>
          <t>Collection</t>
        </is>
      </c>
      <c r="C19" s="6" t="inlineStr">
        <is>
          <t>submission_revisions</t>
        </is>
      </c>
      <c r="D19" s="6" t="inlineStr">
        <is>
          <t>REVISION</t>
        </is>
      </c>
      <c r="E19" s="6" t="inlineStr">
        <is>
          <t>A version of a submission. Each correction adds one; submitted revisions never change.</t>
        </is>
      </c>
      <c r="F19" s="6" t="inlineStr">
        <is>
          <t>RY2025-MAFF r1</t>
        </is>
      </c>
      <c r="G19" s="6" t="inlineStr">
        <is>
          <t>~20 / year</t>
        </is>
      </c>
      <c r="H19" s="6">
        <f>COUNTIF(Fields!$B$2:$B$400,C19)</f>
        <v/>
      </c>
      <c r="I19" s="6">
        <f>H19+6</f>
        <v/>
      </c>
      <c r="J19" s="8" t="n"/>
    </row>
    <row r="20">
      <c r="A20" s="6" t="n">
        <v>19</v>
      </c>
      <c r="B20" s="10" t="inlineStr">
        <is>
          <t>Collection</t>
        </is>
      </c>
      <c r="C20" s="6" t="inlineStr">
        <is>
          <t>answers</t>
        </is>
      </c>
      <c r="D20" s="6" t="inlineStr">
        <is>
          <t>ANSWER</t>
        </is>
      </c>
      <c r="E20" s="6" t="inlineStr">
        <is>
          <t>The answer to one indicator in one revision.</t>
        </is>
      </c>
      <c r="F20" s="6" t="inlineStr">
        <is>
          <t>AI-002 = 4 (57%)</t>
        </is>
      </c>
      <c r="G20" s="6" t="inlineStr">
        <is>
          <t>~120 / year</t>
        </is>
      </c>
      <c r="H20" s="6">
        <f>COUNTIF(Fields!$B$2:$B$400,C20)</f>
        <v/>
      </c>
      <c r="I20" s="6">
        <f>H20+6</f>
        <v/>
      </c>
      <c r="J20" s="8" t="n"/>
    </row>
    <row r="21">
      <c r="A21" s="6" t="n">
        <v>20</v>
      </c>
      <c r="B21" s="10" t="inlineStr">
        <is>
          <t>Collection</t>
        </is>
      </c>
      <c r="C21" s="6" t="inlineStr">
        <is>
          <t>evidence_files</t>
        </is>
      </c>
      <c r="D21" s="6" t="inlineStr">
        <is>
          <t>EVIDENCE</t>
        </is>
      </c>
      <c r="E21" s="6" t="inlineStr">
        <is>
          <t>Details of an uploaded evidence file. The file itself is in private file storage.</t>
        </is>
      </c>
      <c r="F21" s="6" t="inlineStr">
        <is>
          <t>variety-release-2025.pdf</t>
        </is>
      </c>
      <c r="G21" s="6" t="inlineStr">
        <is>
          <t>~120 / year</t>
        </is>
      </c>
      <c r="H21" s="6">
        <f>COUNTIF(Fields!$B$2:$B$400,C21)</f>
        <v/>
      </c>
      <c r="I21" s="6">
        <f>H21+6</f>
        <v/>
      </c>
      <c r="J21" s="8" t="n"/>
    </row>
    <row r="22">
      <c r="A22" s="6" t="n">
        <v>21</v>
      </c>
      <c r="B22" s="11" t="inlineStr">
        <is>
          <t>Review</t>
        </is>
      </c>
      <c r="C22" s="6" t="inlineStr">
        <is>
          <t>review_events</t>
        </is>
      </c>
      <c r="D22" s="6" t="inlineStr">
        <is>
          <t>REVIEW_EVENT</t>
        </is>
      </c>
      <c r="E22" s="6" t="inlineStr">
        <is>
          <t>A decision or query on a submission revision. Never edited or deleted.</t>
        </is>
      </c>
      <c r="F22" s="6" t="inlineStr">
        <is>
          <t>RY2026-NBC r1 · returned</t>
        </is>
      </c>
      <c r="G22" s="6" t="inlineStr">
        <is>
          <t>~50 / year</t>
        </is>
      </c>
      <c r="H22" s="6">
        <f>COUNTIF(Fields!$B$2:$B$400,C22)</f>
        <v/>
      </c>
      <c r="I22" s="6">
        <f>H22+4</f>
        <v/>
      </c>
      <c r="J22" s="8" t="n"/>
    </row>
    <row r="23">
      <c r="A23" s="6" t="n">
        <v>22</v>
      </c>
      <c r="B23" s="11" t="inlineStr">
        <is>
          <t>Review</t>
        </is>
      </c>
      <c r="C23" s="6" t="inlineStr">
        <is>
          <t>quality_flags</t>
        </is>
      </c>
      <c r="D23" s="6" t="inlineStr">
        <is>
          <t>QUALITY_FLAG</t>
        </is>
      </c>
      <c r="E23" s="6" t="inlineStr">
        <is>
          <t>An automatic or manual data-quality warning on a revision.</t>
        </is>
      </c>
      <c r="F23" s="6" t="inlineStr">
        <is>
          <t>AI-030 · no evidence file</t>
        </is>
      </c>
      <c r="G23" s="6" t="inlineStr">
        <is>
          <t>~200 / year</t>
        </is>
      </c>
      <c r="H23" s="6">
        <f>COUNTIF(Fields!$B$2:$B$400,C23)</f>
        <v/>
      </c>
      <c r="I23" s="6">
        <f>H23+6</f>
        <v/>
      </c>
      <c r="J23" s="8" t="n"/>
    </row>
    <row r="24">
      <c r="A24" s="6" t="n">
        <v>23</v>
      </c>
      <c r="B24" s="12" t="inlineStr">
        <is>
          <t>Results</t>
        </is>
      </c>
      <c r="C24" s="6" t="inlineStr">
        <is>
          <t>results</t>
        </is>
      </c>
      <c r="D24" s="6" t="inlineStr">
        <is>
          <t>RESULT</t>
        </is>
      </c>
      <c r="E24" s="6" t="inlineStr">
        <is>
          <t>The official value of an indicator for a year, from an approved answer or an administrative source.</t>
        </is>
      </c>
      <c r="F24" s="6" t="inlineStr">
        <is>
          <t>AI-002 · 2025 · 4 · largely achieved</t>
        </is>
      </c>
      <c r="G24" s="6" t="inlineStr">
        <is>
          <t>~121 / year</t>
        </is>
      </c>
      <c r="H24" s="6">
        <f>COUNTIF(Fields!$B$2:$B$400,C24)</f>
        <v/>
      </c>
      <c r="I24" s="6">
        <f>H24+6</f>
        <v/>
      </c>
      <c r="J24" s="8" t="n"/>
    </row>
    <row r="25">
      <c r="A25" s="6" t="n">
        <v>24</v>
      </c>
      <c r="B25" s="13" t="inlineStr">
        <is>
          <t>Reports</t>
        </is>
      </c>
      <c r="C25" s="6" t="inlineStr">
        <is>
          <t>reports</t>
        </is>
      </c>
      <c r="D25" s="6" t="inlineStr">
        <is>
          <t>REPORT</t>
        </is>
      </c>
      <c r="E25" s="6" t="inlineStr">
        <is>
          <t>A report identity (e.g. the annual report).</t>
        </is>
      </c>
      <c r="F25" s="6" t="inlineStr">
        <is>
          <t>AR-2025 Annual report</t>
        </is>
      </c>
      <c r="G25" s="6" t="inlineStr">
        <is>
          <t>3</t>
        </is>
      </c>
      <c r="H25" s="6">
        <f>COUNTIF(Fields!$B$2:$B$400,C25)</f>
        <v/>
      </c>
      <c r="I25" s="6">
        <f>H25+6</f>
        <v/>
      </c>
      <c r="J25" s="8" t="n"/>
    </row>
    <row r="26">
      <c r="A26" s="6" t="n">
        <v>25</v>
      </c>
      <c r="B26" s="13" t="inlineStr">
        <is>
          <t>Reports</t>
        </is>
      </c>
      <c r="C26" s="6" t="inlineStr">
        <is>
          <t>report_versions</t>
        </is>
      </c>
      <c r="D26" s="6" t="inlineStr">
        <is>
          <t>REPORT_VERSION</t>
        </is>
      </c>
      <c r="E26" s="6" t="inlineStr">
        <is>
          <t>A published, frozen snapshot of a report.</t>
        </is>
      </c>
      <c r="F26" s="6" t="inlineStr">
        <is>
          <t>AR-2025 v1 · 27 May 2026</t>
        </is>
      </c>
      <c r="G26" s="6" t="inlineStr">
        <is>
          <t>3+</t>
        </is>
      </c>
      <c r="H26" s="6">
        <f>COUNTIF(Fields!$B$2:$B$400,C26)</f>
        <v/>
      </c>
      <c r="I26" s="6">
        <f>H26+6</f>
        <v/>
      </c>
      <c r="J26" s="8" t="n"/>
    </row>
    <row r="27">
      <c r="A27" s="6" t="n">
        <v>26</v>
      </c>
      <c r="B27" s="14" t="inlineStr">
        <is>
          <t>Users &amp; access</t>
        </is>
      </c>
      <c r="C27" s="6" t="inlineStr">
        <is>
          <t>users</t>
        </is>
      </c>
      <c r="D27" s="6" t="inlineStr">
        <is>
          <t>APP_USER</t>
        </is>
      </c>
      <c r="E27" s="6" t="inlineStr">
        <is>
          <t>A person who can sign in.</t>
        </is>
      </c>
      <c r="F27" s="6" t="inlineStr">
        <is>
          <t>MAFF focal point</t>
        </is>
      </c>
      <c r="G27" s="6" t="inlineStr">
        <is>
          <t>~30</t>
        </is>
      </c>
      <c r="H27" s="6">
        <f>COUNTIF(Fields!$B$2:$B$400,C27)</f>
        <v/>
      </c>
      <c r="I27" s="6">
        <f>H27+6</f>
        <v/>
      </c>
      <c r="J27" s="8" t="n"/>
    </row>
    <row r="28">
      <c r="A28" s="6" t="n">
        <v>27</v>
      </c>
      <c r="B28" s="14" t="inlineStr">
        <is>
          <t>Users &amp; access</t>
        </is>
      </c>
      <c r="C28" s="6" t="inlineStr">
        <is>
          <t>memberships</t>
        </is>
      </c>
      <c r="D28" s="6" t="inlineStr">
        <is>
          <t>MEMBERSHIP</t>
        </is>
      </c>
      <c r="E28" s="6" t="inlineStr">
        <is>
          <t>A user's membership of a workspace and ministry.</t>
        </is>
      </c>
      <c r="F28" s="6" t="inlineStr">
        <is>
          <t>user · maff</t>
        </is>
      </c>
      <c r="G28" s="6" t="inlineStr">
        <is>
          <t>~30</t>
        </is>
      </c>
      <c r="H28" s="6">
        <f>COUNTIF(Fields!$B$2:$B$400,C28)</f>
        <v/>
      </c>
      <c r="I28" s="6">
        <f>H28+6</f>
        <v/>
      </c>
      <c r="J28" s="8" t="n"/>
    </row>
    <row r="29">
      <c r="A29" s="6" t="n">
        <v>28</v>
      </c>
      <c r="B29" s="14" t="inlineStr">
        <is>
          <t>Users &amp; access</t>
        </is>
      </c>
      <c r="C29" s="6" t="inlineStr">
        <is>
          <t>role_grants</t>
        </is>
      </c>
      <c r="D29" s="6" t="inlineStr">
        <is>
          <t>ROLE_GRANT</t>
        </is>
      </c>
      <c r="E29" s="6" t="inlineStr">
        <is>
          <t>A role given to a membership for a scope.</t>
        </is>
      </c>
      <c r="F29" s="6" t="inlineStr">
        <is>
          <t>focal · ministry maff</t>
        </is>
      </c>
      <c r="G29" s="6" t="inlineStr">
        <is>
          <t>~35</t>
        </is>
      </c>
      <c r="H29" s="6">
        <f>COUNTIF(Fields!$B$2:$B$400,C29)</f>
        <v/>
      </c>
      <c r="I29" s="6">
        <f>H29+6</f>
        <v/>
      </c>
      <c r="J29" s="8" t="n"/>
    </row>
    <row r="30">
      <c r="A30" s="6" t="n">
        <v>29</v>
      </c>
      <c r="B30" s="14" t="inlineStr">
        <is>
          <t>Control</t>
        </is>
      </c>
      <c r="C30" s="6" t="inlineStr">
        <is>
          <t>audit_events</t>
        </is>
      </c>
      <c r="D30" s="6" t="inlineStr">
        <is>
          <t>AUDIT_EVENT</t>
        </is>
      </c>
      <c r="E30" s="6" t="inlineStr">
        <is>
          <t>Permanent record of important actions. Insert-only.</t>
        </is>
      </c>
      <c r="F30" s="6" t="inlineStr">
        <is>
          <t>submission.approved · RY2026-MRD</t>
        </is>
      </c>
      <c r="G30" s="6" t="inlineStr">
        <is>
          <t>thousands</t>
        </is>
      </c>
      <c r="H30" s="6">
        <f>COUNTIF(Fields!$B$2:$B$400,C30)</f>
        <v/>
      </c>
      <c r="I30" s="6">
        <f>H30+4</f>
        <v/>
      </c>
      <c r="J30" s="8" t="n"/>
    </row>
    <row r="31">
      <c r="G31" s="15" t="inlineStr">
        <is>
          <t>Total</t>
        </is>
      </c>
      <c r="H31" s="15">
        <f>SUM(H2:H30)</f>
        <v/>
      </c>
      <c r="I31" s="15">
        <f>SUM(I2:I30)</f>
        <v/>
      </c>
    </row>
    <row r="32">
      <c r="G32" s="16" t="inlineStr">
        <is>
          <t>Common fields per table: 6 (5 on workspaces; review_events and audit_events have no updated_at/row_version).</t>
        </is>
      </c>
    </row>
  </sheetData>
  <autoFilter ref="A1:J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1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12" customWidth="1" min="4" max="4"/>
    <col width="6" customWidth="1" min="5" max="5"/>
    <col width="9" customWidth="1" min="6" max="6"/>
    <col width="22" customWidth="1" min="7" max="7"/>
    <col width="36" customWidth="1" min="8" max="8"/>
    <col width="40" customWidth="1" min="9" max="9"/>
    <col width="32" customWidth="1" min="10" max="10"/>
    <col width="30" customWidth="1" min="11" max="11"/>
  </cols>
  <sheetData>
    <row r="1">
      <c r="A1" s="5" t="inlineStr">
        <is>
          <t>Family</t>
        </is>
      </c>
      <c r="B1" s="5" t="inlineStr">
        <is>
          <t>Table</t>
        </is>
      </c>
      <c r="C1" s="5" t="inlineStr">
        <is>
          <t>Field</t>
        </is>
      </c>
      <c r="D1" s="5" t="inlineStr">
        <is>
          <t>Type</t>
        </is>
      </c>
      <c r="E1" s="5" t="inlineStr">
        <is>
          <t>Key</t>
        </is>
      </c>
      <c r="F1" s="5" t="inlineStr">
        <is>
          <t>Required</t>
        </is>
      </c>
      <c r="G1" s="5" t="inlineStr">
        <is>
          <t>References</t>
        </is>
      </c>
      <c r="H1" s="5" t="inlineStr">
        <is>
          <t>Rule / allowed values</t>
        </is>
      </c>
      <c r="I1" s="5" t="inlineStr">
        <is>
          <t>Description</t>
        </is>
      </c>
      <c r="J1" s="5" t="inlineStr">
        <is>
          <t>Cashew example</t>
        </is>
      </c>
      <c r="K1" s="5" t="inlineStr">
        <is>
          <t>Reviewer comment</t>
        </is>
      </c>
    </row>
    <row r="2">
      <c r="A2" s="17" t="inlineStr">
        <is>
          <t>All tables</t>
        </is>
      </c>
      <c r="B2" s="17" t="inlineStr">
        <is>
          <t>(every table)</t>
        </is>
      </c>
      <c r="C2" s="6" t="inlineStr">
        <is>
          <t>id</t>
        </is>
      </c>
      <c r="D2" s="6" t="inlineStr">
        <is>
          <t>uuid</t>
        </is>
      </c>
      <c r="E2" s="6" t="inlineStr">
        <is>
          <t>PK</t>
        </is>
      </c>
      <c r="F2" s="6" t="inlineStr">
        <is>
          <t>Y</t>
        </is>
      </c>
      <c r="G2" s="6" t="inlineStr"/>
      <c r="H2" s="6" t="inlineStr">
        <is>
          <t>Generated</t>
        </is>
      </c>
      <c r="I2" s="6" t="inlineStr">
        <is>
          <t>Unique identifier of the row.</t>
        </is>
      </c>
      <c r="J2" s="6" t="inlineStr">
        <is>
          <t>8f3c…</t>
        </is>
      </c>
      <c r="K2" s="18" t="n"/>
    </row>
    <row r="3">
      <c r="A3" s="17" t="inlineStr">
        <is>
          <t>All tables</t>
        </is>
      </c>
      <c r="B3" s="17" t="inlineStr">
        <is>
          <t>(every table)</t>
        </is>
      </c>
      <c r="C3" s="6" t="inlineStr">
        <is>
          <t>workspace_id</t>
        </is>
      </c>
      <c r="D3" s="6" t="inlineStr">
        <is>
          <t>uuid</t>
        </is>
      </c>
      <c r="E3" s="6" t="inlineStr">
        <is>
          <t>FK</t>
        </is>
      </c>
      <c r="F3" s="6" t="inlineStr">
        <is>
          <t>Y</t>
        </is>
      </c>
      <c r="G3" s="6" t="inlineStr">
        <is>
          <t>workspaces.id</t>
        </is>
      </c>
      <c r="H3" s="6" t="inlineStr">
        <is>
          <t>Must match the parent row's workspace</t>
        </is>
      </c>
      <c r="I3" s="6" t="inlineStr">
        <is>
          <t>Which workspace the row belongs to. Not on workspaces itself.</t>
        </is>
      </c>
      <c r="J3" s="6" t="inlineStr">
        <is>
          <t>Cashew workspace</t>
        </is>
      </c>
      <c r="K3" s="18" t="n"/>
    </row>
    <row r="4">
      <c r="A4" s="17" t="inlineStr">
        <is>
          <t>All tables</t>
        </is>
      </c>
      <c r="B4" s="17" t="inlineStr">
        <is>
          <t>(every table)</t>
        </is>
      </c>
      <c r="C4" s="6" t="inlineStr">
        <is>
          <t>created_at</t>
        </is>
      </c>
      <c r="D4" s="6" t="inlineStr">
        <is>
          <t>timestamptz</t>
        </is>
      </c>
      <c r="E4" s="6" t="inlineStr"/>
      <c r="F4" s="6" t="inlineStr">
        <is>
          <t>Y</t>
        </is>
      </c>
      <c r="G4" s="6" t="inlineStr"/>
      <c r="H4" s="6" t="inlineStr">
        <is>
          <t>UTC, set by the database</t>
        </is>
      </c>
      <c r="I4" s="6" t="inlineStr">
        <is>
          <t>When the row was created.</t>
        </is>
      </c>
      <c r="J4" s="6" t="inlineStr">
        <is>
          <t>2026-05-11 09:14 UTC</t>
        </is>
      </c>
      <c r="K4" s="18" t="n"/>
    </row>
    <row r="5">
      <c r="A5" s="17" t="inlineStr">
        <is>
          <t>All tables</t>
        </is>
      </c>
      <c r="B5" s="17" t="inlineStr">
        <is>
          <t>(every table)</t>
        </is>
      </c>
      <c r="C5" s="6" t="inlineStr">
        <is>
          <t>created_by</t>
        </is>
      </c>
      <c r="D5" s="6" t="inlineStr">
        <is>
          <t>uuid</t>
        </is>
      </c>
      <c r="E5" s="6" t="inlineStr">
        <is>
          <t>FK</t>
        </is>
      </c>
      <c r="F5" s="6" t="inlineStr">
        <is>
          <t>N</t>
        </is>
      </c>
      <c r="G5" s="6" t="inlineStr">
        <is>
          <t>users.id</t>
        </is>
      </c>
      <c r="H5" s="6" t="inlineStr">
        <is>
          <t>Empty for imported/system rows</t>
        </is>
      </c>
      <c r="I5" s="6" t="inlineStr">
        <is>
          <t>Who created the row.</t>
        </is>
      </c>
      <c r="J5" s="6" t="inlineStr">
        <is>
          <t>Secretariat lead</t>
        </is>
      </c>
      <c r="K5" s="18" t="n"/>
    </row>
    <row r="6">
      <c r="A6" s="17" t="inlineStr">
        <is>
          <t>All tables</t>
        </is>
      </c>
      <c r="B6" s="17" t="inlineStr">
        <is>
          <t>(every table)</t>
        </is>
      </c>
      <c r="C6" s="6" t="inlineStr">
        <is>
          <t>updated_at</t>
        </is>
      </c>
      <c r="D6" s="6" t="inlineStr">
        <is>
          <t>timestamptz</t>
        </is>
      </c>
      <c r="E6" s="6" t="inlineStr"/>
      <c r="F6" s="6" t="inlineStr">
        <is>
          <t>Y</t>
        </is>
      </c>
      <c r="G6" s="6" t="inlineStr"/>
      <c r="H6" s="6" t="inlineStr">
        <is>
          <t>UTC</t>
        </is>
      </c>
      <c r="I6" s="6" t="inlineStr">
        <is>
          <t>When the row last changed. Not on insert-only tables.</t>
        </is>
      </c>
      <c r="J6" s="6" t="inlineStr">
        <is>
          <t>2026-05-12 10:00 UTC</t>
        </is>
      </c>
      <c r="K6" s="18" t="n"/>
    </row>
    <row r="7">
      <c r="A7" s="17" t="inlineStr">
        <is>
          <t>All tables</t>
        </is>
      </c>
      <c r="B7" s="17" t="inlineStr">
        <is>
          <t>(every table)</t>
        </is>
      </c>
      <c r="C7" s="6" t="inlineStr">
        <is>
          <t>row_version</t>
        </is>
      </c>
      <c r="D7" s="6" t="inlineStr">
        <is>
          <t>integer</t>
        </is>
      </c>
      <c r="E7" s="6" t="inlineStr"/>
      <c r="F7" s="6" t="inlineStr">
        <is>
          <t>Y</t>
        </is>
      </c>
      <c r="G7" s="6" t="inlineStr"/>
      <c r="H7" s="6" t="inlineStr">
        <is>
          <t>Starts at 1; +1 on every update</t>
        </is>
      </c>
      <c r="I7" s="6" t="inlineStr">
        <is>
          <t>Detects two people editing at once (stale edit is refused).</t>
        </is>
      </c>
      <c r="J7" s="6" t="inlineStr">
        <is>
          <t>3</t>
        </is>
      </c>
      <c r="K7" s="18" t="n"/>
    </row>
    <row r="8">
      <c r="A8" s="7" t="inlineStr">
        <is>
          <t>Structure</t>
        </is>
      </c>
      <c r="B8" s="7" t="inlineStr">
        <is>
          <t>workspaces</t>
        </is>
      </c>
      <c r="C8" s="6" t="inlineStr">
        <is>
          <t>code</t>
        </is>
      </c>
      <c r="D8" s="6" t="inlineStr">
        <is>
          <t>text</t>
        </is>
      </c>
      <c r="E8" s="6" t="inlineStr">
        <is>
          <t>UK</t>
        </is>
      </c>
      <c r="F8" s="6" t="inlineStr">
        <is>
          <t>Y</t>
        </is>
      </c>
      <c r="G8" s="6" t="inlineStr"/>
      <c r="H8" s="6" t="inlineStr">
        <is>
          <t>Unique, lowercase</t>
        </is>
      </c>
      <c r="I8" s="6" t="inlineStr">
        <is>
          <t>Short code.</t>
        </is>
      </c>
      <c r="J8" s="6" t="inlineStr">
        <is>
          <t>cashew-moc</t>
        </is>
      </c>
      <c r="K8" s="18" t="n"/>
    </row>
    <row r="9">
      <c r="A9" s="7" t="inlineStr">
        <is>
          <t>Structure</t>
        </is>
      </c>
      <c r="B9" s="7" t="inlineStr">
        <is>
          <t>workspaces</t>
        </is>
      </c>
      <c r="C9" s="6" t="inlineStr">
        <is>
          <t>name</t>
        </is>
      </c>
      <c r="D9" s="6" t="inlineStr">
        <is>
          <t>text</t>
        </is>
      </c>
      <c r="E9" s="6" t="inlineStr"/>
      <c r="F9" s="6" t="inlineStr">
        <is>
          <t>Y</t>
        </is>
      </c>
      <c r="G9" s="6" t="inlineStr"/>
      <c r="H9" s="6" t="inlineStr"/>
      <c r="I9" s="6" t="inlineStr">
        <is>
          <t>Display name.</t>
        </is>
      </c>
      <c r="J9" s="6" t="inlineStr">
        <is>
          <t>Cashew Policy M&amp;E (MoC)</t>
        </is>
      </c>
      <c r="K9" s="18" t="n"/>
    </row>
    <row r="10">
      <c r="A10" s="7" t="inlineStr">
        <is>
          <t>Structure</t>
        </is>
      </c>
      <c r="B10" s="7" t="inlineStr">
        <is>
          <t>workspaces</t>
        </is>
      </c>
      <c r="C10" s="6" t="inlineStr">
        <is>
          <t>timezone</t>
        </is>
      </c>
      <c r="D10" s="6" t="inlineStr">
        <is>
          <t>text</t>
        </is>
      </c>
      <c r="E10" s="6" t="inlineStr"/>
      <c r="F10" s="6" t="inlineStr">
        <is>
          <t>Y</t>
        </is>
      </c>
      <c r="G10" s="6" t="inlineStr"/>
      <c r="H10" s="6" t="inlineStr">
        <is>
          <t>IANA timezone</t>
        </is>
      </c>
      <c r="I10" s="6" t="inlineStr">
        <is>
          <t>Used for deadlines and period boundaries.</t>
        </is>
      </c>
      <c r="J10" s="6" t="inlineStr">
        <is>
          <t>Asia/Phnom_Penh</t>
        </is>
      </c>
      <c r="K10" s="18" t="n"/>
    </row>
    <row r="11">
      <c r="A11" s="7" t="inlineStr">
        <is>
          <t>Structure</t>
        </is>
      </c>
      <c r="B11" s="7" t="inlineStr">
        <is>
          <t>workspaces</t>
        </is>
      </c>
      <c r="C11" s="6" t="inlineStr">
        <is>
          <t>default_language</t>
        </is>
      </c>
      <c r="D11" s="6" t="inlineStr">
        <is>
          <t>text</t>
        </is>
      </c>
      <c r="E11" s="6" t="inlineStr"/>
      <c r="F11" s="6" t="inlineStr">
        <is>
          <t>Y</t>
        </is>
      </c>
      <c r="G11" s="6" t="inlineStr"/>
      <c r="H11" s="6" t="inlineStr">
        <is>
          <t>en | km</t>
        </is>
      </c>
      <c r="I11" s="6" t="inlineStr">
        <is>
          <t>Default language of labels.</t>
        </is>
      </c>
      <c r="J11" s="6" t="inlineStr">
        <is>
          <t>km</t>
        </is>
      </c>
      <c r="K11" s="18" t="n"/>
    </row>
    <row r="12">
      <c r="A12" s="7" t="inlineStr">
        <is>
          <t>Structure</t>
        </is>
      </c>
      <c r="B12" s="7" t="inlineStr">
        <is>
          <t>workspaces</t>
        </is>
      </c>
      <c r="C12" s="6" t="inlineStr">
        <is>
          <t>status</t>
        </is>
      </c>
      <c r="D12" s="6" t="inlineStr">
        <is>
          <t>text</t>
        </is>
      </c>
      <c r="E12" s="6" t="inlineStr"/>
      <c r="F12" s="6" t="inlineStr">
        <is>
          <t>Y</t>
        </is>
      </c>
      <c r="G12" s="6" t="inlineStr"/>
      <c r="H12" s="6" t="inlineStr">
        <is>
          <t>active | archived</t>
        </is>
      </c>
      <c r="I12" s="6" t="inlineStr"/>
      <c r="J12" s="6" t="inlineStr">
        <is>
          <t>active</t>
        </is>
      </c>
      <c r="K12" s="18" t="n"/>
    </row>
    <row r="13">
      <c r="A13" s="7" t="inlineStr">
        <is>
          <t>Structure</t>
        </is>
      </c>
      <c r="B13" s="7" t="inlineStr">
        <is>
          <t>policies</t>
        </is>
      </c>
      <c r="C13" s="6" t="inlineStr">
        <is>
          <t>code</t>
        </is>
      </c>
      <c r="D13" s="6" t="inlineStr">
        <is>
          <t>text</t>
        </is>
      </c>
      <c r="E13" s="6" t="inlineStr">
        <is>
          <t>UK</t>
        </is>
      </c>
      <c r="F13" s="6" t="inlineStr">
        <is>
          <t>Y</t>
        </is>
      </c>
      <c r="G13" s="6" t="inlineStr"/>
      <c r="H13" s="6" t="inlineStr">
        <is>
          <t>Unique in workspace</t>
        </is>
      </c>
      <c r="I13" s="6" t="inlineStr">
        <is>
          <t>Short code.</t>
        </is>
      </c>
      <c r="J13" s="6" t="inlineStr">
        <is>
          <t>NCP-2022</t>
        </is>
      </c>
      <c r="K13" s="18" t="n"/>
    </row>
    <row r="14">
      <c r="A14" s="7" t="inlineStr">
        <is>
          <t>Structure</t>
        </is>
      </c>
      <c r="B14" s="7" t="inlineStr">
        <is>
          <t>policies</t>
        </is>
      </c>
      <c r="C14" s="6" t="inlineStr">
        <is>
          <t>name_en</t>
        </is>
      </c>
      <c r="D14" s="6" t="inlineStr">
        <is>
          <t>text</t>
        </is>
      </c>
      <c r="E14" s="6" t="inlineStr"/>
      <c r="F14" s="6" t="inlineStr">
        <is>
          <t>Y</t>
        </is>
      </c>
      <c r="G14" s="6" t="inlineStr"/>
      <c r="H14" s="6" t="inlineStr"/>
      <c r="I14" s="6" t="inlineStr">
        <is>
          <t>Name in English.</t>
        </is>
      </c>
      <c r="J14" s="6" t="inlineStr">
        <is>
          <t>National Cashew Policy 2022–2027</t>
        </is>
      </c>
      <c r="K14" s="18" t="n"/>
    </row>
    <row r="15">
      <c r="A15" s="7" t="inlineStr">
        <is>
          <t>Structure</t>
        </is>
      </c>
      <c r="B15" s="7" t="inlineStr">
        <is>
          <t>policies</t>
        </is>
      </c>
      <c r="C15" s="6" t="inlineStr">
        <is>
          <t>name_km</t>
        </is>
      </c>
      <c r="D15" s="6" t="inlineStr">
        <is>
          <t>text</t>
        </is>
      </c>
      <c r="E15" s="6" t="inlineStr"/>
      <c r="F15" s="6" t="inlineStr">
        <is>
          <t>N</t>
        </is>
      </c>
      <c r="G15" s="6" t="inlineStr"/>
      <c r="H15" s="6" t="inlineStr"/>
      <c r="I15" s="6" t="inlineStr">
        <is>
          <t>Name in Khmer.</t>
        </is>
      </c>
      <c r="J15" s="6" t="inlineStr">
        <is>
          <t>គោលនយោបាយជាតិស្តីពីស្វាយចន្ទី…</t>
        </is>
      </c>
      <c r="K15" s="18" t="n"/>
    </row>
    <row r="16">
      <c r="A16" s="7" t="inlineStr">
        <is>
          <t>Structure</t>
        </is>
      </c>
      <c r="B16" s="7" t="inlineStr">
        <is>
          <t>policies</t>
        </is>
      </c>
      <c r="C16" s="6" t="inlineStr">
        <is>
          <t>vision</t>
        </is>
      </c>
      <c r="D16" s="6" t="inlineStr">
        <is>
          <t>text</t>
        </is>
      </c>
      <c r="E16" s="6" t="inlineStr"/>
      <c r="F16" s="6" t="inlineStr">
        <is>
          <t>N</t>
        </is>
      </c>
      <c r="G16" s="6" t="inlineStr"/>
      <c r="H16" s="6" t="inlineStr"/>
      <c r="I16" s="6" t="inlineStr">
        <is>
          <t>Vision statement.</t>
        </is>
      </c>
      <c r="J16" s="6" t="inlineStr">
        <is>
          <t>Develop cashew production, processing and markets…</t>
        </is>
      </c>
      <c r="K16" s="18" t="n"/>
    </row>
    <row r="17">
      <c r="A17" s="7" t="inlineStr">
        <is>
          <t>Structure</t>
        </is>
      </c>
      <c r="B17" s="7" t="inlineStr">
        <is>
          <t>policies</t>
        </is>
      </c>
      <c r="C17" s="6" t="inlineStr">
        <is>
          <t>start_date</t>
        </is>
      </c>
      <c r="D17" s="6" t="inlineStr">
        <is>
          <t>date</t>
        </is>
      </c>
      <c r="E17" s="6" t="inlineStr"/>
      <c r="F17" s="6" t="inlineStr">
        <is>
          <t>Y</t>
        </is>
      </c>
      <c r="G17" s="6" t="inlineStr"/>
      <c r="H17" s="6" t="inlineStr"/>
      <c r="I17" s="6" t="inlineStr">
        <is>
          <t>Policy start.</t>
        </is>
      </c>
      <c r="J17" s="6" t="inlineStr">
        <is>
          <t>2022-01-01</t>
        </is>
      </c>
      <c r="K17" s="18" t="n"/>
    </row>
    <row r="18">
      <c r="A18" s="7" t="inlineStr">
        <is>
          <t>Structure</t>
        </is>
      </c>
      <c r="B18" s="7" t="inlineStr">
        <is>
          <t>policies</t>
        </is>
      </c>
      <c r="C18" s="6" t="inlineStr">
        <is>
          <t>end_date</t>
        </is>
      </c>
      <c r="D18" s="6" t="inlineStr">
        <is>
          <t>date</t>
        </is>
      </c>
      <c r="E18" s="6" t="inlineStr"/>
      <c r="F18" s="6" t="inlineStr">
        <is>
          <t>Y</t>
        </is>
      </c>
      <c r="G18" s="6" t="inlineStr"/>
      <c r="H18" s="6" t="inlineStr">
        <is>
          <t>≥ start_date</t>
        </is>
      </c>
      <c r="I18" s="6" t="inlineStr">
        <is>
          <t>Policy end.</t>
        </is>
      </c>
      <c r="J18" s="6" t="inlineStr">
        <is>
          <t>2027-12-31</t>
        </is>
      </c>
      <c r="K18" s="18" t="n"/>
    </row>
    <row r="19">
      <c r="A19" s="7" t="inlineStr">
        <is>
          <t>Structure</t>
        </is>
      </c>
      <c r="B19" s="7" t="inlineStr">
        <is>
          <t>policies</t>
        </is>
      </c>
      <c r="C19" s="6" t="inlineStr">
        <is>
          <t>approved_on</t>
        </is>
      </c>
      <c r="D19" s="6" t="inlineStr">
        <is>
          <t>date</t>
        </is>
      </c>
      <c r="E19" s="6" t="inlineStr"/>
      <c r="F19" s="6" t="inlineStr">
        <is>
          <t>N</t>
        </is>
      </c>
      <c r="G19" s="6" t="inlineStr"/>
      <c r="H19" s="6" t="inlineStr"/>
      <c r="I19" s="6" t="inlineStr">
        <is>
          <t>Approval date.</t>
        </is>
      </c>
      <c r="J19" s="6" t="inlineStr">
        <is>
          <t>2023-01-13</t>
        </is>
      </c>
      <c r="K19" s="18" t="n"/>
    </row>
    <row r="20">
      <c r="A20" s="7" t="inlineStr">
        <is>
          <t>Structure</t>
        </is>
      </c>
      <c r="B20" s="7" t="inlineStr">
        <is>
          <t>policies</t>
        </is>
      </c>
      <c r="C20" s="6" t="inlineStr">
        <is>
          <t>approved_by</t>
        </is>
      </c>
      <c r="D20" s="6" t="inlineStr">
        <is>
          <t>text</t>
        </is>
      </c>
      <c r="E20" s="6" t="inlineStr"/>
      <c r="F20" s="6" t="inlineStr">
        <is>
          <t>N</t>
        </is>
      </c>
      <c r="G20" s="6" t="inlineStr"/>
      <c r="H20" s="6" t="inlineStr"/>
      <c r="I20" s="6" t="inlineStr">
        <is>
          <t>Approving body.</t>
        </is>
      </c>
      <c r="J20" s="6" t="inlineStr">
        <is>
          <t>Council of Ministers</t>
        </is>
      </c>
      <c r="K20" s="18" t="n"/>
    </row>
    <row r="21">
      <c r="A21" s="7" t="inlineStr">
        <is>
          <t>Structure</t>
        </is>
      </c>
      <c r="B21" s="7" t="inlineStr">
        <is>
          <t>policies</t>
        </is>
      </c>
      <c r="C21" s="6" t="inlineStr">
        <is>
          <t>owner_ministry_id</t>
        </is>
      </c>
      <c r="D21" s="6" t="inlineStr">
        <is>
          <t>uuid</t>
        </is>
      </c>
      <c r="E21" s="6" t="inlineStr">
        <is>
          <t>FK</t>
        </is>
      </c>
      <c r="F21" s="6" t="inlineStr">
        <is>
          <t>Y</t>
        </is>
      </c>
      <c r="G21" s="6" t="inlineStr">
        <is>
          <t>ministries.id</t>
        </is>
      </c>
      <c r="H21" s="6" t="inlineStr"/>
      <c r="I21" s="6" t="inlineStr">
        <is>
          <t>Ministry accountable for the policy.</t>
        </is>
      </c>
      <c r="J21" s="6" t="inlineStr">
        <is>
          <t>moc</t>
        </is>
      </c>
      <c r="K21" s="18" t="n"/>
    </row>
    <row r="22">
      <c r="A22" s="7" t="inlineStr">
        <is>
          <t>Structure</t>
        </is>
      </c>
      <c r="B22" s="7" t="inlineStr">
        <is>
          <t>policies</t>
        </is>
      </c>
      <c r="C22" s="6" t="inlineStr">
        <is>
          <t>status</t>
        </is>
      </c>
      <c r="D22" s="6" t="inlineStr">
        <is>
          <t>text</t>
        </is>
      </c>
      <c r="E22" s="6" t="inlineStr"/>
      <c r="F22" s="6" t="inlineStr">
        <is>
          <t>Y</t>
        </is>
      </c>
      <c r="G22" s="6" t="inlineStr"/>
      <c r="H22" s="6" t="inlineStr">
        <is>
          <t>draft | active | closed | archived</t>
        </is>
      </c>
      <c r="I22" s="6" t="inlineStr"/>
      <c r="J22" s="6" t="inlineStr">
        <is>
          <t>active</t>
        </is>
      </c>
      <c r="K22" s="18" t="n"/>
    </row>
    <row r="23">
      <c r="A23" s="7" t="inlineStr">
        <is>
          <t>Structure</t>
        </is>
      </c>
      <c r="B23" s="7" t="inlineStr">
        <is>
          <t>goals</t>
        </is>
      </c>
      <c r="C23" s="6" t="inlineStr">
        <is>
          <t>policy_id</t>
        </is>
      </c>
      <c r="D23" s="6" t="inlineStr">
        <is>
          <t>uuid</t>
        </is>
      </c>
      <c r="E23" s="6" t="inlineStr">
        <is>
          <t>FK</t>
        </is>
      </c>
      <c r="F23" s="6" t="inlineStr">
        <is>
          <t>Y</t>
        </is>
      </c>
      <c r="G23" s="6" t="inlineStr">
        <is>
          <t>policies.id</t>
        </is>
      </c>
      <c r="H23" s="6" t="inlineStr"/>
      <c r="I23" s="6" t="inlineStr">
        <is>
          <t>Policy the goal belongs to.</t>
        </is>
      </c>
      <c r="J23" s="6" t="inlineStr">
        <is>
          <t>NCP-2022</t>
        </is>
      </c>
      <c r="K23" s="18" t="n"/>
    </row>
    <row r="24">
      <c r="A24" s="7" t="inlineStr">
        <is>
          <t>Structure</t>
        </is>
      </c>
      <c r="B24" s="7" t="inlineStr">
        <is>
          <t>goals</t>
        </is>
      </c>
      <c r="C24" s="6" t="inlineStr">
        <is>
          <t>code</t>
        </is>
      </c>
      <c r="D24" s="6" t="inlineStr">
        <is>
          <t>text</t>
        </is>
      </c>
      <c r="E24" s="6" t="inlineStr">
        <is>
          <t>UK</t>
        </is>
      </c>
      <c r="F24" s="6" t="inlineStr">
        <is>
          <t>Y</t>
        </is>
      </c>
      <c r="G24" s="6" t="inlineStr"/>
      <c r="H24" s="6" t="inlineStr">
        <is>
          <t>Unique within the policy</t>
        </is>
      </c>
      <c r="I24" s="6" t="inlineStr">
        <is>
          <t>Short code.</t>
        </is>
      </c>
      <c r="J24" s="6" t="inlineStr">
        <is>
          <t>G2</t>
        </is>
      </c>
      <c r="K24" s="18" t="n"/>
    </row>
    <row r="25">
      <c r="A25" s="7" t="inlineStr">
        <is>
          <t>Structure</t>
        </is>
      </c>
      <c r="B25" s="7" t="inlineStr">
        <is>
          <t>goals</t>
        </is>
      </c>
      <c r="C25" s="6" t="inlineStr">
        <is>
          <t>text_en</t>
        </is>
      </c>
      <c r="D25" s="6" t="inlineStr">
        <is>
          <t>text</t>
        </is>
      </c>
      <c r="E25" s="6" t="inlineStr"/>
      <c r="F25" s="6" t="inlineStr">
        <is>
          <t>Y</t>
        </is>
      </c>
      <c r="G25" s="6" t="inlineStr"/>
      <c r="H25" s="6" t="inlineStr"/>
      <c r="I25" s="6" t="inlineStr">
        <is>
          <t>Goal statement in English.</t>
        </is>
      </c>
      <c r="J25" s="6" t="inlineStr">
        <is>
          <t>Promote industrialisation: 25% processed domestically by 2027</t>
        </is>
      </c>
      <c r="K25" s="18" t="n"/>
    </row>
    <row r="26">
      <c r="A26" s="7" t="inlineStr">
        <is>
          <t>Structure</t>
        </is>
      </c>
      <c r="B26" s="7" t="inlineStr">
        <is>
          <t>goals</t>
        </is>
      </c>
      <c r="C26" s="6" t="inlineStr">
        <is>
          <t>text_km</t>
        </is>
      </c>
      <c r="D26" s="6" t="inlineStr">
        <is>
          <t>text</t>
        </is>
      </c>
      <c r="E26" s="6" t="inlineStr"/>
      <c r="F26" s="6" t="inlineStr">
        <is>
          <t>N</t>
        </is>
      </c>
      <c r="G26" s="6" t="inlineStr"/>
      <c r="H26" s="6" t="inlineStr"/>
      <c r="I26" s="6" t="inlineStr">
        <is>
          <t>Goal statement in Khmer.</t>
        </is>
      </c>
      <c r="J26" s="6" t="inlineStr"/>
      <c r="K26" s="18" t="n"/>
    </row>
    <row r="27">
      <c r="A27" s="7" t="inlineStr">
        <is>
          <t>Structure</t>
        </is>
      </c>
      <c r="B27" s="7" t="inlineStr">
        <is>
          <t>goals</t>
        </is>
      </c>
      <c r="C27" s="6" t="inlineStr">
        <is>
          <t>sort_order</t>
        </is>
      </c>
      <c r="D27" s="6" t="inlineStr">
        <is>
          <t>integer</t>
        </is>
      </c>
      <c r="E27" s="6" t="inlineStr"/>
      <c r="F27" s="6" t="inlineStr">
        <is>
          <t>Y</t>
        </is>
      </c>
      <c r="G27" s="6" t="inlineStr"/>
      <c r="H27" s="6" t="inlineStr"/>
      <c r="I27" s="6" t="inlineStr">
        <is>
          <t>Display order.</t>
        </is>
      </c>
      <c r="J27" s="6" t="inlineStr">
        <is>
          <t>2</t>
        </is>
      </c>
      <c r="K27" s="18" t="n"/>
    </row>
    <row r="28">
      <c r="A28" s="7" t="inlineStr">
        <is>
          <t>Structure</t>
        </is>
      </c>
      <c r="B28" s="7" t="inlineStr">
        <is>
          <t>clusters</t>
        </is>
      </c>
      <c r="C28" s="6" t="inlineStr">
        <is>
          <t>policy_id</t>
        </is>
      </c>
      <c r="D28" s="6" t="inlineStr">
        <is>
          <t>uuid</t>
        </is>
      </c>
      <c r="E28" s="6" t="inlineStr">
        <is>
          <t>FK</t>
        </is>
      </c>
      <c r="F28" s="6" t="inlineStr">
        <is>
          <t>Y</t>
        </is>
      </c>
      <c r="G28" s="6" t="inlineStr">
        <is>
          <t>policies.id</t>
        </is>
      </c>
      <c r="H28" s="6" t="inlineStr"/>
      <c r="I28" s="6" t="inlineStr">
        <is>
          <t>Policy.</t>
        </is>
      </c>
      <c r="J28" s="6" t="inlineStr">
        <is>
          <t>NCP-2022</t>
        </is>
      </c>
      <c r="K28" s="18" t="n"/>
    </row>
    <row r="29">
      <c r="A29" s="7" t="inlineStr">
        <is>
          <t>Structure</t>
        </is>
      </c>
      <c r="B29" s="7" t="inlineStr">
        <is>
          <t>clusters</t>
        </is>
      </c>
      <c r="C29" s="6" t="inlineStr">
        <is>
          <t>goal_id</t>
        </is>
      </c>
      <c r="D29" s="6" t="inlineStr">
        <is>
          <t>uuid</t>
        </is>
      </c>
      <c r="E29" s="6" t="inlineStr">
        <is>
          <t>FK</t>
        </is>
      </c>
      <c r="F29" s="6" t="inlineStr">
        <is>
          <t>Y</t>
        </is>
      </c>
      <c r="G29" s="6" t="inlineStr">
        <is>
          <t>goals.id</t>
        </is>
      </c>
      <c r="H29" s="6" t="inlineStr">
        <is>
          <t>Goal in the same policy</t>
        </is>
      </c>
      <c r="I29" s="6" t="inlineStr">
        <is>
          <t>Goal the cluster delivers.</t>
        </is>
      </c>
      <c r="J29" s="6" t="inlineStr">
        <is>
          <t>G2</t>
        </is>
      </c>
      <c r="K29" s="18" t="n"/>
    </row>
    <row r="30">
      <c r="A30" s="7" t="inlineStr">
        <is>
          <t>Structure</t>
        </is>
      </c>
      <c r="B30" s="7" t="inlineStr">
        <is>
          <t>clusters</t>
        </is>
      </c>
      <c r="C30" s="6" t="inlineStr">
        <is>
          <t>code</t>
        </is>
      </c>
      <c r="D30" s="6" t="inlineStr">
        <is>
          <t>text</t>
        </is>
      </c>
      <c r="E30" s="6" t="inlineStr">
        <is>
          <t>UK</t>
        </is>
      </c>
      <c r="F30" s="6" t="inlineStr">
        <is>
          <t>Y</t>
        </is>
      </c>
      <c r="G30" s="6" t="inlineStr"/>
      <c r="H30" s="6" t="inlineStr">
        <is>
          <t>Unique within the policy</t>
        </is>
      </c>
      <c r="I30" s="6" t="inlineStr">
        <is>
          <t>Short code.</t>
        </is>
      </c>
      <c r="J30" s="6" t="inlineStr">
        <is>
          <t>processing</t>
        </is>
      </c>
      <c r="K30" s="18" t="n"/>
    </row>
    <row r="31">
      <c r="A31" s="7" t="inlineStr">
        <is>
          <t>Structure</t>
        </is>
      </c>
      <c r="B31" s="7" t="inlineStr">
        <is>
          <t>clusters</t>
        </is>
      </c>
      <c r="C31" s="6" t="inlineStr">
        <is>
          <t>name_en</t>
        </is>
      </c>
      <c r="D31" s="6" t="inlineStr">
        <is>
          <t>text</t>
        </is>
      </c>
      <c r="E31" s="6" t="inlineStr"/>
      <c r="F31" s="6" t="inlineStr">
        <is>
          <t>Y</t>
        </is>
      </c>
      <c r="G31" s="6" t="inlineStr"/>
      <c r="H31" s="6" t="inlineStr"/>
      <c r="I31" s="6" t="inlineStr">
        <is>
          <t>Name.</t>
        </is>
      </c>
      <c r="J31" s="6" t="inlineStr">
        <is>
          <t>Processing</t>
        </is>
      </c>
      <c r="K31" s="18" t="n"/>
    </row>
    <row r="32">
      <c r="A32" s="7" t="inlineStr">
        <is>
          <t>Structure</t>
        </is>
      </c>
      <c r="B32" s="7" t="inlineStr">
        <is>
          <t>clusters</t>
        </is>
      </c>
      <c r="C32" s="6" t="inlineStr">
        <is>
          <t>name_km</t>
        </is>
      </c>
      <c r="D32" s="6" t="inlineStr">
        <is>
          <t>text</t>
        </is>
      </c>
      <c r="E32" s="6" t="inlineStr"/>
      <c r="F32" s="6" t="inlineStr">
        <is>
          <t>N</t>
        </is>
      </c>
      <c r="G32" s="6" t="inlineStr"/>
      <c r="H32" s="6" t="inlineStr"/>
      <c r="I32" s="6" t="inlineStr">
        <is>
          <t>Name in Khmer.</t>
        </is>
      </c>
      <c r="J32" s="6" t="inlineStr"/>
      <c r="K32" s="18" t="n"/>
    </row>
    <row r="33">
      <c r="A33" s="7" t="inlineStr">
        <is>
          <t>Structure</t>
        </is>
      </c>
      <c r="B33" s="7" t="inlineStr">
        <is>
          <t>clusters</t>
        </is>
      </c>
      <c r="C33" s="6" t="inlineStr">
        <is>
          <t>sort_order</t>
        </is>
      </c>
      <c r="D33" s="6" t="inlineStr">
        <is>
          <t>integer</t>
        </is>
      </c>
      <c r="E33" s="6" t="inlineStr"/>
      <c r="F33" s="6" t="inlineStr">
        <is>
          <t>Y</t>
        </is>
      </c>
      <c r="G33" s="6" t="inlineStr"/>
      <c r="H33" s="6" t="inlineStr"/>
      <c r="I33" s="6" t="inlineStr">
        <is>
          <t>Display order.</t>
        </is>
      </c>
      <c r="J33" s="6" t="inlineStr">
        <is>
          <t>2</t>
        </is>
      </c>
      <c r="K33" s="18" t="n"/>
    </row>
    <row r="34">
      <c r="A34" s="7" t="inlineStr">
        <is>
          <t>Structure</t>
        </is>
      </c>
      <c r="B34" s="7" t="inlineStr">
        <is>
          <t>ministries</t>
        </is>
      </c>
      <c r="C34" s="6" t="inlineStr">
        <is>
          <t>code</t>
        </is>
      </c>
      <c r="D34" s="6" t="inlineStr">
        <is>
          <t>text</t>
        </is>
      </c>
      <c r="E34" s="6" t="inlineStr">
        <is>
          <t>UK</t>
        </is>
      </c>
      <c r="F34" s="6" t="inlineStr">
        <is>
          <t>Y</t>
        </is>
      </c>
      <c r="G34" s="6" t="inlineStr"/>
      <c r="H34" s="6" t="inlineStr">
        <is>
          <t>Lowercase; never change once used (join key across years)</t>
        </is>
      </c>
      <c r="I34" s="6" t="inlineStr">
        <is>
          <t>Stable code, same as the Kobo choice name.</t>
        </is>
      </c>
      <c r="J34" s="6" t="inlineStr">
        <is>
          <t>maff</t>
        </is>
      </c>
      <c r="K34" s="18" t="n"/>
    </row>
    <row r="35">
      <c r="A35" s="7" t="inlineStr">
        <is>
          <t>Structure</t>
        </is>
      </c>
      <c r="B35" s="7" t="inlineStr">
        <is>
          <t>ministries</t>
        </is>
      </c>
      <c r="C35" s="6" t="inlineStr">
        <is>
          <t>short_name</t>
        </is>
      </c>
      <c r="D35" s="6" t="inlineStr">
        <is>
          <t>text</t>
        </is>
      </c>
      <c r="E35" s="6" t="inlineStr"/>
      <c r="F35" s="6" t="inlineStr">
        <is>
          <t>Y</t>
        </is>
      </c>
      <c r="G35" s="6" t="inlineStr"/>
      <c r="H35" s="6" t="inlineStr"/>
      <c r="I35" s="6" t="inlineStr">
        <is>
          <t>Abbreviation.</t>
        </is>
      </c>
      <c r="J35" s="6" t="inlineStr">
        <is>
          <t>MAFF</t>
        </is>
      </c>
      <c r="K35" s="18" t="n"/>
    </row>
    <row r="36">
      <c r="A36" s="7" t="inlineStr">
        <is>
          <t>Structure</t>
        </is>
      </c>
      <c r="B36" s="7" t="inlineStr">
        <is>
          <t>ministries</t>
        </is>
      </c>
      <c r="C36" s="6" t="inlineStr">
        <is>
          <t>name_en</t>
        </is>
      </c>
      <c r="D36" s="6" t="inlineStr">
        <is>
          <t>text</t>
        </is>
      </c>
      <c r="E36" s="6" t="inlineStr"/>
      <c r="F36" s="6" t="inlineStr">
        <is>
          <t>Y</t>
        </is>
      </c>
      <c r="G36" s="6" t="inlineStr"/>
      <c r="H36" s="6" t="inlineStr"/>
      <c r="I36" s="6" t="inlineStr">
        <is>
          <t>Full name in English.</t>
        </is>
      </c>
      <c r="J36" s="6" t="inlineStr">
        <is>
          <t>Ministry of Agriculture, Forestry and Fisheries</t>
        </is>
      </c>
      <c r="K36" s="18" t="n"/>
    </row>
    <row r="37">
      <c r="A37" s="7" t="inlineStr">
        <is>
          <t>Structure</t>
        </is>
      </c>
      <c r="B37" s="7" t="inlineStr">
        <is>
          <t>ministries</t>
        </is>
      </c>
      <c r="C37" s="6" t="inlineStr">
        <is>
          <t>name_km</t>
        </is>
      </c>
      <c r="D37" s="6" t="inlineStr">
        <is>
          <t>text</t>
        </is>
      </c>
      <c r="E37" s="6" t="inlineStr"/>
      <c r="F37" s="6" t="inlineStr">
        <is>
          <t>N</t>
        </is>
      </c>
      <c r="G37" s="6" t="inlineStr"/>
      <c r="H37" s="6" t="inlineStr"/>
      <c r="I37" s="6" t="inlineStr">
        <is>
          <t>Full name in Khmer.</t>
        </is>
      </c>
      <c r="J37" s="6" t="inlineStr">
        <is>
          <t>ក្រសួងកសិកម្ម រុក្ខាប្រមាញ់ និងនេសាទ</t>
        </is>
      </c>
      <c r="K37" s="18" t="n"/>
    </row>
    <row r="38">
      <c r="A38" s="7" t="inlineStr">
        <is>
          <t>Structure</t>
        </is>
      </c>
      <c r="B38" s="7" t="inlineStr">
        <is>
          <t>ministries</t>
        </is>
      </c>
      <c r="C38" s="6" t="inlineStr">
        <is>
          <t>type</t>
        </is>
      </c>
      <c r="D38" s="6" t="inlineStr">
        <is>
          <t>text</t>
        </is>
      </c>
      <c r="E38" s="6" t="inlineStr"/>
      <c r="F38" s="6" t="inlineStr">
        <is>
          <t>Y</t>
        </is>
      </c>
      <c r="G38" s="6" t="inlineStr"/>
      <c r="H38" s="6" t="inlineStr">
        <is>
          <t>ministry | institution | secretariat | partner</t>
        </is>
      </c>
      <c r="I38" s="6" t="inlineStr"/>
      <c r="J38" s="6" t="inlineStr">
        <is>
          <t>ministry</t>
        </is>
      </c>
      <c r="K38" s="18" t="n"/>
    </row>
    <row r="39">
      <c r="A39" s="7" t="inlineStr">
        <is>
          <t>Structure</t>
        </is>
      </c>
      <c r="B39" s="7" t="inlineStr">
        <is>
          <t>ministries</t>
        </is>
      </c>
      <c r="C39" s="6" t="inlineStr">
        <is>
          <t>status</t>
        </is>
      </c>
      <c r="D39" s="6" t="inlineStr">
        <is>
          <t>text</t>
        </is>
      </c>
      <c r="E39" s="6" t="inlineStr"/>
      <c r="F39" s="6" t="inlineStr">
        <is>
          <t>Y</t>
        </is>
      </c>
      <c r="G39" s="6" t="inlineStr"/>
      <c r="H39" s="6" t="inlineStr">
        <is>
          <t>active | archived</t>
        </is>
      </c>
      <c r="I39" s="6" t="inlineStr">
        <is>
          <t>Archive instead of delete.</t>
        </is>
      </c>
      <c r="J39" s="6" t="inlineStr">
        <is>
          <t>active</t>
        </is>
      </c>
      <c r="K39" s="18" t="n"/>
    </row>
    <row r="40">
      <c r="A40" s="7" t="inlineStr">
        <is>
          <t>Structure</t>
        </is>
      </c>
      <c r="B40" s="7" t="inlineStr">
        <is>
          <t>programmes</t>
        </is>
      </c>
      <c r="C40" s="6" t="inlineStr">
        <is>
          <t>policy_id</t>
        </is>
      </c>
      <c r="D40" s="6" t="inlineStr">
        <is>
          <t>uuid</t>
        </is>
      </c>
      <c r="E40" s="6" t="inlineStr">
        <is>
          <t>FK</t>
        </is>
      </c>
      <c r="F40" s="6" t="inlineStr">
        <is>
          <t>Y</t>
        </is>
      </c>
      <c r="G40" s="6" t="inlineStr">
        <is>
          <t>policies.id</t>
        </is>
      </c>
      <c r="H40" s="6" t="inlineStr"/>
      <c r="I40" s="6" t="inlineStr">
        <is>
          <t>Owning policy.</t>
        </is>
      </c>
      <c r="J40" s="6" t="inlineStr">
        <is>
          <t>NCP-2022</t>
        </is>
      </c>
      <c r="K40" s="18" t="n"/>
    </row>
    <row r="41">
      <c r="A41" s="7" t="inlineStr">
        <is>
          <t>Structure</t>
        </is>
      </c>
      <c r="B41" s="7" t="inlineStr">
        <is>
          <t>programmes</t>
        </is>
      </c>
      <c r="C41" s="6" t="inlineStr">
        <is>
          <t>ministry_id</t>
        </is>
      </c>
      <c r="D41" s="6" t="inlineStr">
        <is>
          <t>uuid</t>
        </is>
      </c>
      <c r="E41" s="6" t="inlineStr">
        <is>
          <t>FK</t>
        </is>
      </c>
      <c r="F41" s="6" t="inlineStr">
        <is>
          <t>Y</t>
        </is>
      </c>
      <c r="G41" s="6" t="inlineStr">
        <is>
          <t>ministries.id</t>
        </is>
      </c>
      <c r="H41" s="6" t="inlineStr">
        <is>
          <t>One programme per ministry per policy</t>
        </is>
      </c>
      <c r="I41" s="6" t="inlineStr">
        <is>
          <t>Ministry running the programme.</t>
        </is>
      </c>
      <c r="J41" s="6" t="inlineStr">
        <is>
          <t>maff</t>
        </is>
      </c>
      <c r="K41" s="18" t="n"/>
    </row>
    <row r="42">
      <c r="A42" s="7" t="inlineStr">
        <is>
          <t>Structure</t>
        </is>
      </c>
      <c r="B42" s="7" t="inlineStr">
        <is>
          <t>programmes</t>
        </is>
      </c>
      <c r="C42" s="6" t="inlineStr">
        <is>
          <t>code</t>
        </is>
      </c>
      <c r="D42" s="6" t="inlineStr">
        <is>
          <t>text</t>
        </is>
      </c>
      <c r="E42" s="6" t="inlineStr">
        <is>
          <t>UK</t>
        </is>
      </c>
      <c r="F42" s="6" t="inlineStr">
        <is>
          <t>Y</t>
        </is>
      </c>
      <c r="G42" s="6" t="inlineStr"/>
      <c r="H42" s="6" t="inlineStr">
        <is>
          <t>Unique in workspace</t>
        </is>
      </c>
      <c r="I42" s="6" t="inlineStr">
        <is>
          <t>Short code.</t>
        </is>
      </c>
      <c r="J42" s="6" t="inlineStr">
        <is>
          <t>PRG-MAFF</t>
        </is>
      </c>
      <c r="K42" s="18" t="n"/>
    </row>
    <row r="43">
      <c r="A43" s="7" t="inlineStr">
        <is>
          <t>Structure</t>
        </is>
      </c>
      <c r="B43" s="7" t="inlineStr">
        <is>
          <t>programmes</t>
        </is>
      </c>
      <c r="C43" s="6" t="inlineStr">
        <is>
          <t>name_en</t>
        </is>
      </c>
      <c r="D43" s="6" t="inlineStr">
        <is>
          <t>text</t>
        </is>
      </c>
      <c r="E43" s="6" t="inlineStr"/>
      <c r="F43" s="6" t="inlineStr">
        <is>
          <t>Y</t>
        </is>
      </c>
      <c r="G43" s="6" t="inlineStr"/>
      <c r="H43" s="6" t="inlineStr"/>
      <c r="I43" s="6" t="inlineStr">
        <is>
          <t>Name.</t>
        </is>
      </c>
      <c r="J43" s="6" t="inlineStr">
        <is>
          <t>MAFF cashew policy programme</t>
        </is>
      </c>
      <c r="K43" s="18" t="n"/>
    </row>
    <row r="44">
      <c r="A44" s="7" t="inlineStr">
        <is>
          <t>Structure</t>
        </is>
      </c>
      <c r="B44" s="7" t="inlineStr">
        <is>
          <t>programmes</t>
        </is>
      </c>
      <c r="C44" s="6" t="inlineStr">
        <is>
          <t>start_date</t>
        </is>
      </c>
      <c r="D44" s="6" t="inlineStr">
        <is>
          <t>date</t>
        </is>
      </c>
      <c r="E44" s="6" t="inlineStr"/>
      <c r="F44" s="6" t="inlineStr">
        <is>
          <t>N</t>
        </is>
      </c>
      <c r="G44" s="6" t="inlineStr"/>
      <c r="H44" s="6" t="inlineStr">
        <is>
          <t>Within the policy period (warning if outside)</t>
        </is>
      </c>
      <c r="I44" s="6" t="inlineStr"/>
      <c r="J44" s="6" t="inlineStr">
        <is>
          <t>2022-01-01</t>
        </is>
      </c>
      <c r="K44" s="18" t="n"/>
    </row>
    <row r="45">
      <c r="A45" s="7" t="inlineStr">
        <is>
          <t>Structure</t>
        </is>
      </c>
      <c r="B45" s="7" t="inlineStr">
        <is>
          <t>programmes</t>
        </is>
      </c>
      <c r="C45" s="6" t="inlineStr">
        <is>
          <t>end_date</t>
        </is>
      </c>
      <c r="D45" s="6" t="inlineStr">
        <is>
          <t>date</t>
        </is>
      </c>
      <c r="E45" s="6" t="inlineStr"/>
      <c r="F45" s="6" t="inlineStr">
        <is>
          <t>N</t>
        </is>
      </c>
      <c r="G45" s="6" t="inlineStr"/>
      <c r="H45" s="6" t="inlineStr">
        <is>
          <t>≥ start_date</t>
        </is>
      </c>
      <c r="I45" s="6" t="inlineStr"/>
      <c r="J45" s="6" t="inlineStr">
        <is>
          <t>2027-12-31</t>
        </is>
      </c>
      <c r="K45" s="18" t="n"/>
    </row>
    <row r="46">
      <c r="A46" s="7" t="inlineStr">
        <is>
          <t>Structure</t>
        </is>
      </c>
      <c r="B46" s="7" t="inlineStr">
        <is>
          <t>programmes</t>
        </is>
      </c>
      <c r="C46" s="6" t="inlineStr">
        <is>
          <t>status</t>
        </is>
      </c>
      <c r="D46" s="6" t="inlineStr">
        <is>
          <t>text</t>
        </is>
      </c>
      <c r="E46" s="6" t="inlineStr"/>
      <c r="F46" s="6" t="inlineStr">
        <is>
          <t>Y</t>
        </is>
      </c>
      <c r="G46" s="6" t="inlineStr"/>
      <c r="H46" s="6" t="inlineStr">
        <is>
          <t>draft | active | closed | archived</t>
        </is>
      </c>
      <c r="I46" s="6" t="inlineStr"/>
      <c r="J46" s="6" t="inlineStr">
        <is>
          <t>active</t>
        </is>
      </c>
      <c r="K46" s="18" t="n"/>
    </row>
    <row r="47">
      <c r="A47" s="7" t="inlineStr">
        <is>
          <t>Structure</t>
        </is>
      </c>
      <c r="B47" s="7" t="inlineStr">
        <is>
          <t>actions</t>
        </is>
      </c>
      <c r="C47" s="6" t="inlineStr">
        <is>
          <t>programme_id</t>
        </is>
      </c>
      <c r="D47" s="6" t="inlineStr">
        <is>
          <t>uuid</t>
        </is>
      </c>
      <c r="E47" s="6" t="inlineStr">
        <is>
          <t>FK</t>
        </is>
      </c>
      <c r="F47" s="6" t="inlineStr">
        <is>
          <t>Y</t>
        </is>
      </c>
      <c r="G47" s="6" t="inlineStr">
        <is>
          <t>programmes.id</t>
        </is>
      </c>
      <c r="H47" s="6" t="inlineStr"/>
      <c r="I47" s="6" t="inlineStr">
        <is>
          <t>Owning programme = lead ministry's programme.</t>
        </is>
      </c>
      <c r="J47" s="6" t="inlineStr">
        <is>
          <t>PRG-MAFF</t>
        </is>
      </c>
      <c r="K47" s="18" t="n"/>
    </row>
    <row r="48">
      <c r="A48" s="7" t="inlineStr">
        <is>
          <t>Structure</t>
        </is>
      </c>
      <c r="B48" s="7" t="inlineStr">
        <is>
          <t>actions</t>
        </is>
      </c>
      <c r="C48" s="6" t="inlineStr">
        <is>
          <t>cluster_id</t>
        </is>
      </c>
      <c r="D48" s="6" t="inlineStr">
        <is>
          <t>uuid</t>
        </is>
      </c>
      <c r="E48" s="6" t="inlineStr">
        <is>
          <t>FK</t>
        </is>
      </c>
      <c r="F48" s="6" t="inlineStr">
        <is>
          <t>Y</t>
        </is>
      </c>
      <c r="G48" s="6" t="inlineStr">
        <is>
          <t>clusters.id</t>
        </is>
      </c>
      <c r="H48" s="6" t="inlineStr">
        <is>
          <t>Cluster in the same policy</t>
        </is>
      </c>
      <c r="I48" s="6" t="inlineStr">
        <is>
          <t>Cluster the action belongs to.</t>
        </is>
      </c>
      <c r="J48" s="6" t="inlineStr">
        <is>
          <t>production</t>
        </is>
      </c>
      <c r="K48" s="18" t="n"/>
    </row>
    <row r="49">
      <c r="A49" s="7" t="inlineStr">
        <is>
          <t>Structure</t>
        </is>
      </c>
      <c r="B49" s="7" t="inlineStr">
        <is>
          <t>actions</t>
        </is>
      </c>
      <c r="C49" s="6" t="inlineStr">
        <is>
          <t>number</t>
        </is>
      </c>
      <c r="D49" s="6" t="inlineStr">
        <is>
          <t>integer</t>
        </is>
      </c>
      <c r="E49" s="6" t="inlineStr">
        <is>
          <t>UK</t>
        </is>
      </c>
      <c r="F49" s="6" t="inlineStr">
        <is>
          <t>Y</t>
        </is>
      </c>
      <c r="G49" s="6" t="inlineStr"/>
      <c r="H49" s="6" t="inlineStr">
        <is>
          <t>Unique within the policy (1–44)</t>
        </is>
      </c>
      <c r="I49" s="6" t="inlineStr">
        <is>
          <t>Action number in the policy matrix.</t>
        </is>
      </c>
      <c r="J49" s="6" t="inlineStr">
        <is>
          <t>2</t>
        </is>
      </c>
      <c r="K49" s="18" t="n"/>
    </row>
    <row r="50">
      <c r="A50" s="7" t="inlineStr">
        <is>
          <t>Structure</t>
        </is>
      </c>
      <c r="B50" s="7" t="inlineStr">
        <is>
          <t>actions</t>
        </is>
      </c>
      <c r="C50" s="6" t="inlineStr">
        <is>
          <t>code</t>
        </is>
      </c>
      <c r="D50" s="6" t="inlineStr">
        <is>
          <t>text</t>
        </is>
      </c>
      <c r="E50" s="6" t="inlineStr">
        <is>
          <t>UK</t>
        </is>
      </c>
      <c r="F50" s="6" t="inlineStr">
        <is>
          <t>Y</t>
        </is>
      </c>
      <c r="G50" s="6" t="inlineStr"/>
      <c r="H50" s="6" t="inlineStr">
        <is>
          <t>Unique in workspace</t>
        </is>
      </c>
      <c r="I50" s="6" t="inlineStr">
        <is>
          <t>Short code.</t>
        </is>
      </c>
      <c r="J50" s="6" t="inlineStr">
        <is>
          <t>ACT-02</t>
        </is>
      </c>
      <c r="K50" s="18" t="n"/>
    </row>
    <row r="51">
      <c r="A51" s="7" t="inlineStr">
        <is>
          <t>Structure</t>
        </is>
      </c>
      <c r="B51" s="7" t="inlineStr">
        <is>
          <t>actions</t>
        </is>
      </c>
      <c r="C51" s="6" t="inlineStr">
        <is>
          <t>title_en</t>
        </is>
      </c>
      <c r="D51" s="6" t="inlineStr">
        <is>
          <t>text</t>
        </is>
      </c>
      <c r="E51" s="6" t="inlineStr"/>
      <c r="F51" s="6" t="inlineStr">
        <is>
          <t>Y</t>
        </is>
      </c>
      <c r="G51" s="6" t="inlineStr"/>
      <c r="H51" s="6" t="inlineStr"/>
      <c r="I51" s="6" t="inlineStr">
        <is>
          <t>Action text in English.</t>
        </is>
      </c>
      <c r="J51" s="6" t="inlineStr">
        <is>
          <t>Continue to conduct scientific research on cashew varieties…</t>
        </is>
      </c>
      <c r="K51" s="18" t="n"/>
    </row>
    <row r="52">
      <c r="A52" s="7" t="inlineStr">
        <is>
          <t>Structure</t>
        </is>
      </c>
      <c r="B52" s="7" t="inlineStr">
        <is>
          <t>actions</t>
        </is>
      </c>
      <c r="C52" s="6" t="inlineStr">
        <is>
          <t>title_km</t>
        </is>
      </c>
      <c r="D52" s="6" t="inlineStr">
        <is>
          <t>text</t>
        </is>
      </c>
      <c r="E52" s="6" t="inlineStr"/>
      <c r="F52" s="6" t="inlineStr">
        <is>
          <t>N</t>
        </is>
      </c>
      <c r="G52" s="6" t="inlineStr"/>
      <c r="H52" s="6" t="inlineStr"/>
      <c r="I52" s="6" t="inlineStr">
        <is>
          <t>Action text in Khmer.</t>
        </is>
      </c>
      <c r="J52" s="6" t="inlineStr"/>
      <c r="K52" s="18" t="n"/>
    </row>
    <row r="53">
      <c r="A53" s="7" t="inlineStr">
        <is>
          <t>Structure</t>
        </is>
      </c>
      <c r="B53" s="7" t="inlineStr">
        <is>
          <t>actions</t>
        </is>
      </c>
      <c r="C53" s="6" t="inlineStr">
        <is>
          <t>responsible_text</t>
        </is>
      </c>
      <c r="D53" s="6" t="inlineStr">
        <is>
          <t>text</t>
        </is>
      </c>
      <c r="E53" s="6" t="inlineStr"/>
      <c r="F53" s="6" t="inlineStr">
        <is>
          <t>N</t>
        </is>
      </c>
      <c r="G53" s="6" t="inlineStr"/>
      <c r="H53" s="6" t="inlineStr"/>
      <c r="I53" s="6" t="inlineStr">
        <is>
          <t>Responsible institutions as written in the policy/MTR.</t>
        </is>
      </c>
      <c r="J53" s="6" t="inlineStr">
        <is>
          <t>MAFF</t>
        </is>
      </c>
      <c r="K53" s="18" t="n"/>
    </row>
    <row r="54">
      <c r="A54" s="7" t="inlineStr">
        <is>
          <t>Structure</t>
        </is>
      </c>
      <c r="B54" s="7" t="inlineStr">
        <is>
          <t>actions</t>
        </is>
      </c>
      <c r="C54" s="6" t="inlineStr">
        <is>
          <t>status</t>
        </is>
      </c>
      <c r="D54" s="6" t="inlineStr">
        <is>
          <t>text</t>
        </is>
      </c>
      <c r="E54" s="6" t="inlineStr"/>
      <c r="F54" s="6" t="inlineStr">
        <is>
          <t>Y</t>
        </is>
      </c>
      <c r="G54" s="6" t="inlineStr"/>
      <c r="H54" s="6" t="inlineStr">
        <is>
          <t>planned | active | completed | archived</t>
        </is>
      </c>
      <c r="I54" s="6" t="inlineStr"/>
      <c r="J54" s="6" t="inlineStr">
        <is>
          <t>active</t>
        </is>
      </c>
      <c r="K54" s="18" t="n"/>
    </row>
    <row r="55">
      <c r="A55" s="7" t="inlineStr">
        <is>
          <t>Structure</t>
        </is>
      </c>
      <c r="B55" s="7" t="inlineStr">
        <is>
          <t>action_ministries</t>
        </is>
      </c>
      <c r="C55" s="6" t="inlineStr">
        <is>
          <t>action_id</t>
        </is>
      </c>
      <c r="D55" s="6" t="inlineStr">
        <is>
          <t>uuid</t>
        </is>
      </c>
      <c r="E55" s="6" t="inlineStr">
        <is>
          <t>FK</t>
        </is>
      </c>
      <c r="F55" s="6" t="inlineStr">
        <is>
          <t>Y</t>
        </is>
      </c>
      <c r="G55" s="6" t="inlineStr">
        <is>
          <t>actions.id</t>
        </is>
      </c>
      <c r="H55" s="6" t="inlineStr">
        <is>
          <t>Unique with ministry_id</t>
        </is>
      </c>
      <c r="I55" s="6" t="inlineStr">
        <is>
          <t>Action.</t>
        </is>
      </c>
      <c r="J55" s="6" t="inlineStr">
        <is>
          <t>ACT-05</t>
        </is>
      </c>
      <c r="K55" s="18" t="n"/>
    </row>
    <row r="56">
      <c r="A56" s="7" t="inlineStr">
        <is>
          <t>Structure</t>
        </is>
      </c>
      <c r="B56" s="7" t="inlineStr">
        <is>
          <t>action_ministries</t>
        </is>
      </c>
      <c r="C56" s="6" t="inlineStr">
        <is>
          <t>ministry_id</t>
        </is>
      </c>
      <c r="D56" s="6" t="inlineStr">
        <is>
          <t>uuid</t>
        </is>
      </c>
      <c r="E56" s="6" t="inlineStr">
        <is>
          <t>FK</t>
        </is>
      </c>
      <c r="F56" s="6" t="inlineStr">
        <is>
          <t>Y</t>
        </is>
      </c>
      <c r="G56" s="6" t="inlineStr">
        <is>
          <t>ministries.id</t>
        </is>
      </c>
      <c r="H56" s="6" t="inlineStr"/>
      <c r="I56" s="6" t="inlineStr">
        <is>
          <t>Ministry involved.</t>
        </is>
      </c>
      <c r="J56" s="6" t="inlineStr">
        <is>
          <t>moe</t>
        </is>
      </c>
      <c r="K56" s="18" t="n"/>
    </row>
    <row r="57">
      <c r="A57" s="7" t="inlineStr">
        <is>
          <t>Structure</t>
        </is>
      </c>
      <c r="B57" s="7" t="inlineStr">
        <is>
          <t>action_ministries</t>
        </is>
      </c>
      <c r="C57" s="6" t="inlineStr">
        <is>
          <t>role</t>
        </is>
      </c>
      <c r="D57" s="6" t="inlineStr">
        <is>
          <t>text</t>
        </is>
      </c>
      <c r="E57" s="6" t="inlineStr"/>
      <c r="F57" s="6" t="inlineStr">
        <is>
          <t>Y</t>
        </is>
      </c>
      <c r="G57" s="6" t="inlineStr"/>
      <c r="H57" s="6" t="inlineStr">
        <is>
          <t>lead | contributing; exactly one lead per action</t>
        </is>
      </c>
      <c r="I57" s="6" t="inlineStr">
        <is>
          <t>Its role in the action.</t>
        </is>
      </c>
      <c r="J57" s="6" t="inlineStr">
        <is>
          <t>contributing</t>
        </is>
      </c>
      <c r="K57" s="18" t="n"/>
    </row>
    <row r="58">
      <c r="A58" s="9" t="inlineStr">
        <is>
          <t>Indicators</t>
        </is>
      </c>
      <c r="B58" s="9" t="inlineStr">
        <is>
          <t>indicators</t>
        </is>
      </c>
      <c r="C58" s="6" t="inlineStr">
        <is>
          <t>code</t>
        </is>
      </c>
      <c r="D58" s="6" t="inlineStr">
        <is>
          <t>text</t>
        </is>
      </c>
      <c r="E58" s="6" t="inlineStr">
        <is>
          <t>UK</t>
        </is>
      </c>
      <c r="F58" s="6" t="inlineStr">
        <is>
          <t>Y</t>
        </is>
      </c>
      <c r="G58" s="6" t="inlineStr"/>
      <c r="H58" s="6" t="inlineStr">
        <is>
          <t>Unique in workspace</t>
        </is>
      </c>
      <c r="I58" s="6" t="inlineStr">
        <is>
          <t>Stable code, never reused.</t>
        </is>
      </c>
      <c r="J58" s="6" t="inlineStr">
        <is>
          <t>AI-002</t>
        </is>
      </c>
      <c r="K58" s="18" t="n"/>
    </row>
    <row r="59">
      <c r="A59" s="9" t="inlineStr">
        <is>
          <t>Indicators</t>
        </is>
      </c>
      <c r="B59" s="9" t="inlineStr">
        <is>
          <t>indicators</t>
        </is>
      </c>
      <c r="C59" s="6" t="inlineStr">
        <is>
          <t>external_id</t>
        </is>
      </c>
      <c r="D59" s="6" t="inlineStr">
        <is>
          <t>text</t>
        </is>
      </c>
      <c r="E59" s="6" t="inlineStr"/>
      <c r="F59" s="6" t="inlineStr">
        <is>
          <t>N</t>
        </is>
      </c>
      <c r="G59" s="6" t="inlineStr"/>
      <c r="H59" s="6" t="inlineStr"/>
      <c r="I59" s="6" t="inlineStr">
        <is>
          <t>ID in the source system.</t>
        </is>
      </c>
      <c r="J59" s="6" t="inlineStr">
        <is>
          <t>Indicator_002</t>
        </is>
      </c>
      <c r="K59" s="18" t="n"/>
    </row>
    <row r="60">
      <c r="A60" s="9" t="inlineStr">
        <is>
          <t>Indicators</t>
        </is>
      </c>
      <c r="B60" s="9" t="inlineStr">
        <is>
          <t>indicators</t>
        </is>
      </c>
      <c r="C60" s="6" t="inlineStr">
        <is>
          <t>level</t>
        </is>
      </c>
      <c r="D60" s="6" t="inlineStr">
        <is>
          <t>text</t>
        </is>
      </c>
      <c r="E60" s="6" t="inlineStr"/>
      <c r="F60" s="6" t="inlineStr">
        <is>
          <t>Y</t>
        </is>
      </c>
      <c r="G60" s="6" t="inlineStr"/>
      <c r="H60" s="6" t="inlineStr">
        <is>
          <t>action | outcome</t>
        </is>
      </c>
      <c r="I60" s="6" t="inlineStr">
        <is>
          <t>Monitoring level.</t>
        </is>
      </c>
      <c r="J60" s="6" t="inlineStr">
        <is>
          <t>action</t>
        </is>
      </c>
      <c r="K60" s="18" t="n"/>
    </row>
    <row r="61">
      <c r="A61" s="9" t="inlineStr">
        <is>
          <t>Indicators</t>
        </is>
      </c>
      <c r="B61" s="9" t="inlineStr">
        <is>
          <t>indicators</t>
        </is>
      </c>
      <c r="C61" s="6" t="inlineStr">
        <is>
          <t>action_id</t>
        </is>
      </c>
      <c r="D61" s="6" t="inlineStr">
        <is>
          <t>uuid</t>
        </is>
      </c>
      <c r="E61" s="6" t="inlineStr">
        <is>
          <t>FK</t>
        </is>
      </c>
      <c r="F61" s="6" t="inlineStr">
        <is>
          <t>N</t>
        </is>
      </c>
      <c r="G61" s="6" t="inlineStr">
        <is>
          <t>actions.id</t>
        </is>
      </c>
      <c r="H61" s="6" t="inlineStr">
        <is>
          <t>Required when level = action; empty for outcome</t>
        </is>
      </c>
      <c r="I61" s="6" t="inlineStr">
        <is>
          <t>Action measured.</t>
        </is>
      </c>
      <c r="J61" s="6" t="inlineStr">
        <is>
          <t>ACT-02</t>
        </is>
      </c>
      <c r="K61" s="18" t="n"/>
    </row>
    <row r="62">
      <c r="A62" s="9" t="inlineStr">
        <is>
          <t>Indicators</t>
        </is>
      </c>
      <c r="B62" s="9" t="inlineStr">
        <is>
          <t>indicators</t>
        </is>
      </c>
      <c r="C62" s="6" t="inlineStr">
        <is>
          <t>goal_id</t>
        </is>
      </c>
      <c r="D62" s="6" t="inlineStr">
        <is>
          <t>uuid</t>
        </is>
      </c>
      <c r="E62" s="6" t="inlineStr">
        <is>
          <t>FK</t>
        </is>
      </c>
      <c r="F62" s="6" t="inlineStr">
        <is>
          <t>N</t>
        </is>
      </c>
      <c r="G62" s="6" t="inlineStr">
        <is>
          <t>goals.id</t>
        </is>
      </c>
      <c r="H62" s="6" t="inlineStr">
        <is>
          <t>Used for outcome indicators</t>
        </is>
      </c>
      <c r="I62" s="6" t="inlineStr">
        <is>
          <t>Goal the outcome indicator tracks.</t>
        </is>
      </c>
      <c r="J62" s="6" t="inlineStr">
        <is>
          <t>G1 (for P2)</t>
        </is>
      </c>
      <c r="K62" s="18" t="n"/>
    </row>
    <row r="63">
      <c r="A63" s="9" t="inlineStr">
        <is>
          <t>Indicators</t>
        </is>
      </c>
      <c r="B63" s="9" t="inlineStr">
        <is>
          <t>indicators</t>
        </is>
      </c>
      <c r="C63" s="6" t="inlineStr">
        <is>
          <t>reporting_ministry_id</t>
        </is>
      </c>
      <c r="D63" s="6" t="inlineStr">
        <is>
          <t>uuid</t>
        </is>
      </c>
      <c r="E63" s="6" t="inlineStr">
        <is>
          <t>FK</t>
        </is>
      </c>
      <c r="F63" s="6" t="inlineStr">
        <is>
          <t>N</t>
        </is>
      </c>
      <c r="G63" s="6" t="inlineStr">
        <is>
          <t>ministries.id</t>
        </is>
      </c>
      <c r="H63" s="6" t="inlineStr">
        <is>
          <t>Required when level = action</t>
        </is>
      </c>
      <c r="I63" s="6" t="inlineStr">
        <is>
          <t>The one ministry that reports this indicator.</t>
        </is>
      </c>
      <c r="J63" s="6" t="inlineStr">
        <is>
          <t>maff</t>
        </is>
      </c>
      <c r="K63" s="18" t="n"/>
    </row>
    <row r="64">
      <c r="A64" s="9" t="inlineStr">
        <is>
          <t>Indicators</t>
        </is>
      </c>
      <c r="B64" s="9" t="inlineStr">
        <is>
          <t>indicators</t>
        </is>
      </c>
      <c r="C64" s="6" t="inlineStr">
        <is>
          <t>area</t>
        </is>
      </c>
      <c r="D64" s="6" t="inlineStr">
        <is>
          <t>text</t>
        </is>
      </c>
      <c r="E64" s="6" t="inlineStr"/>
      <c r="F64" s="6" t="inlineStr">
        <is>
          <t>N</t>
        </is>
      </c>
      <c r="G64" s="6" t="inlineStr"/>
      <c r="H64" s="6" t="inlineStr">
        <is>
          <t>production | quality | processing | market | socio-economic</t>
        </is>
      </c>
      <c r="I64" s="6" t="inlineStr">
        <is>
          <t>Outcome area.</t>
        </is>
      </c>
      <c r="J64" s="6" t="inlineStr">
        <is>
          <t>production (for P2)</t>
        </is>
      </c>
      <c r="K64" s="18" t="n"/>
    </row>
    <row r="65">
      <c r="A65" s="9" t="inlineStr">
        <is>
          <t>Indicators</t>
        </is>
      </c>
      <c r="B65" s="9" t="inlineStr">
        <is>
          <t>indicators</t>
        </is>
      </c>
      <c r="C65" s="6" t="inlineStr">
        <is>
          <t>active_version_id</t>
        </is>
      </c>
      <c r="D65" s="6" t="inlineStr">
        <is>
          <t>uuid</t>
        </is>
      </c>
      <c r="E65" s="6" t="inlineStr">
        <is>
          <t>FK</t>
        </is>
      </c>
      <c r="F65" s="6" t="inlineStr">
        <is>
          <t>Y</t>
        </is>
      </c>
      <c r="G65" s="6" t="inlineStr">
        <is>
          <t>indicator_versions.id</t>
        </is>
      </c>
      <c r="H65" s="6" t="inlineStr">
        <is>
          <t>A version of this indicator</t>
        </is>
      </c>
      <c r="I65" s="6" t="inlineStr">
        <is>
          <t>Current definition.</t>
        </is>
      </c>
      <c r="J65" s="6" t="inlineStr">
        <is>
          <t>AI-002 v1</t>
        </is>
      </c>
      <c r="K65" s="18" t="n"/>
    </row>
    <row r="66">
      <c r="A66" s="9" t="inlineStr">
        <is>
          <t>Indicators</t>
        </is>
      </c>
      <c r="B66" s="9" t="inlineStr">
        <is>
          <t>indicators</t>
        </is>
      </c>
      <c r="C66" s="6" t="inlineStr">
        <is>
          <t>status</t>
        </is>
      </c>
      <c r="D66" s="6" t="inlineStr">
        <is>
          <t>text</t>
        </is>
      </c>
      <c r="E66" s="6" t="inlineStr"/>
      <c r="F66" s="6" t="inlineStr">
        <is>
          <t>Y</t>
        </is>
      </c>
      <c r="G66" s="6" t="inlineStr"/>
      <c r="H66" s="6" t="inlineStr">
        <is>
          <t>active | retired</t>
        </is>
      </c>
      <c r="I66" s="6" t="inlineStr">
        <is>
          <t>Retire instead of delete.</t>
        </is>
      </c>
      <c r="J66" s="6" t="inlineStr">
        <is>
          <t>active</t>
        </is>
      </c>
      <c r="K66" s="18" t="n"/>
    </row>
    <row r="67">
      <c r="A67" s="9" t="inlineStr">
        <is>
          <t>Indicators</t>
        </is>
      </c>
      <c r="B67" s="9" t="inlineStr">
        <is>
          <t>indicator_versions</t>
        </is>
      </c>
      <c r="C67" s="6" t="inlineStr">
        <is>
          <t>indicator_id</t>
        </is>
      </c>
      <c r="D67" s="6" t="inlineStr">
        <is>
          <t>uuid</t>
        </is>
      </c>
      <c r="E67" s="6" t="inlineStr">
        <is>
          <t>FK</t>
        </is>
      </c>
      <c r="F67" s="6" t="inlineStr">
        <is>
          <t>Y</t>
        </is>
      </c>
      <c r="G67" s="6" t="inlineStr">
        <is>
          <t>indicators.id</t>
        </is>
      </c>
      <c r="H67" s="6" t="inlineStr">
        <is>
          <t>Unique with version_no</t>
        </is>
      </c>
      <c r="I67" s="6" t="inlineStr">
        <is>
          <t>Indicator.</t>
        </is>
      </c>
      <c r="J67" s="6" t="inlineStr">
        <is>
          <t>AI-002</t>
        </is>
      </c>
      <c r="K67" s="18" t="n"/>
    </row>
    <row r="68">
      <c r="A68" s="9" t="inlineStr">
        <is>
          <t>Indicators</t>
        </is>
      </c>
      <c r="B68" s="9" t="inlineStr">
        <is>
          <t>indicator_versions</t>
        </is>
      </c>
      <c r="C68" s="6" t="inlineStr">
        <is>
          <t>version_no</t>
        </is>
      </c>
      <c r="D68" s="6" t="inlineStr">
        <is>
          <t>integer</t>
        </is>
      </c>
      <c r="E68" s="6" t="inlineStr">
        <is>
          <t>UK</t>
        </is>
      </c>
      <c r="F68" s="6" t="inlineStr">
        <is>
          <t>Y</t>
        </is>
      </c>
      <c r="G68" s="6" t="inlineStr"/>
      <c r="H68" s="6" t="inlineStr">
        <is>
          <t>1, 2, 3…</t>
        </is>
      </c>
      <c r="I68" s="6" t="inlineStr">
        <is>
          <t>Version number.</t>
        </is>
      </c>
      <c r="J68" s="6" t="inlineStr">
        <is>
          <t>1</t>
        </is>
      </c>
      <c r="K68" s="18" t="n"/>
    </row>
    <row r="69">
      <c r="A69" s="9" t="inlineStr">
        <is>
          <t>Indicators</t>
        </is>
      </c>
      <c r="B69" s="9" t="inlineStr">
        <is>
          <t>indicator_versions</t>
        </is>
      </c>
      <c r="C69" s="6" t="inlineStr">
        <is>
          <t>label_en</t>
        </is>
      </c>
      <c r="D69" s="6" t="inlineStr">
        <is>
          <t>text</t>
        </is>
      </c>
      <c r="E69" s="6" t="inlineStr"/>
      <c r="F69" s="6" t="inlineStr">
        <is>
          <t>Y</t>
        </is>
      </c>
      <c r="G69" s="6" t="inlineStr"/>
      <c r="H69" s="6" t="inlineStr"/>
      <c r="I69" s="6" t="inlineStr">
        <is>
          <t>Indicator wording in English.</t>
        </is>
      </c>
      <c r="J69" s="6" t="inlineStr">
        <is>
          <t>New cashew varieties have been released for use.</t>
        </is>
      </c>
      <c r="K69" s="18" t="n"/>
    </row>
    <row r="70">
      <c r="A70" s="9" t="inlineStr">
        <is>
          <t>Indicators</t>
        </is>
      </c>
      <c r="B70" s="9" t="inlineStr">
        <is>
          <t>indicator_versions</t>
        </is>
      </c>
      <c r="C70" s="6" t="inlineStr">
        <is>
          <t>label_km</t>
        </is>
      </c>
      <c r="D70" s="6" t="inlineStr">
        <is>
          <t>text</t>
        </is>
      </c>
      <c r="E70" s="6" t="inlineStr"/>
      <c r="F70" s="6" t="inlineStr">
        <is>
          <t>N</t>
        </is>
      </c>
      <c r="G70" s="6" t="inlineStr"/>
      <c r="H70" s="6" t="inlineStr"/>
      <c r="I70" s="6" t="inlineStr">
        <is>
          <t>Indicator wording in Khmer.</t>
        </is>
      </c>
      <c r="J70" s="6" t="inlineStr">
        <is>
          <t>ប្រភេទពូជស្វាយចន្ទីបានបញ្ចេញឱ្យប្រើប្រាស់</t>
        </is>
      </c>
      <c r="K70" s="18" t="n"/>
    </row>
    <row r="71">
      <c r="A71" s="9" t="inlineStr">
        <is>
          <t>Indicators</t>
        </is>
      </c>
      <c r="B71" s="9" t="inlineStr">
        <is>
          <t>indicator_versions</t>
        </is>
      </c>
      <c r="C71" s="6" t="inlineStr">
        <is>
          <t>unit</t>
        </is>
      </c>
      <c r="D71" s="6" t="inlineStr">
        <is>
          <t>text</t>
        </is>
      </c>
      <c r="E71" s="6" t="inlineStr"/>
      <c r="F71" s="6" t="inlineStr">
        <is>
          <t>Y</t>
        </is>
      </c>
      <c r="G71" s="6" t="inlineStr"/>
      <c r="H71" s="6" t="inlineStr"/>
      <c r="I71" s="6" t="inlineStr">
        <is>
          <t>Unit of measure.</t>
        </is>
      </c>
      <c r="J71" s="6" t="inlineStr">
        <is>
          <t>varieties</t>
        </is>
      </c>
      <c r="K71" s="18" t="n"/>
    </row>
    <row r="72">
      <c r="A72" s="9" t="inlineStr">
        <is>
          <t>Indicators</t>
        </is>
      </c>
      <c r="B72" s="9" t="inlineStr">
        <is>
          <t>indicator_versions</t>
        </is>
      </c>
      <c r="C72" s="6" t="inlineStr">
        <is>
          <t>method</t>
        </is>
      </c>
      <c r="D72" s="6" t="inlineStr">
        <is>
          <t>text</t>
        </is>
      </c>
      <c r="E72" s="6" t="inlineStr"/>
      <c r="F72" s="6" t="inlineStr">
        <is>
          <t>Y</t>
        </is>
      </c>
      <c r="G72" s="6" t="inlineStr"/>
      <c r="H72" s="6" t="inlineStr">
        <is>
          <t>See Allowed values: method</t>
        </is>
      </c>
      <c r="I72" s="6" t="inlineStr">
        <is>
          <t>How % of target is calculated.</t>
        </is>
      </c>
      <c r="J72" s="6" t="inlineStr">
        <is>
          <t>count_to_target</t>
        </is>
      </c>
      <c r="K72" s="18" t="n"/>
    </row>
    <row r="73">
      <c r="A73" s="9" t="inlineStr">
        <is>
          <t>Indicators</t>
        </is>
      </c>
      <c r="B73" s="9" t="inlineStr">
        <is>
          <t>indicator_versions</t>
        </is>
      </c>
      <c r="C73" s="6" t="inlineStr">
        <is>
          <t>direction</t>
        </is>
      </c>
      <c r="D73" s="6" t="inlineStr">
        <is>
          <t>text</t>
        </is>
      </c>
      <c r="E73" s="6" t="inlineStr"/>
      <c r="F73" s="6" t="inlineStr">
        <is>
          <t>Y</t>
        </is>
      </c>
      <c r="G73" s="6" t="inlineStr"/>
      <c r="H73" s="6" t="inlineStr">
        <is>
          <t>increase | decrease</t>
        </is>
      </c>
      <c r="I73" s="6" t="inlineStr">
        <is>
          <t>Which way is better.</t>
        </is>
      </c>
      <c r="J73" s="6" t="inlineStr">
        <is>
          <t>increase</t>
        </is>
      </c>
      <c r="K73" s="18" t="n"/>
    </row>
    <row r="74">
      <c r="A74" s="9" t="inlineStr">
        <is>
          <t>Indicators</t>
        </is>
      </c>
      <c r="B74" s="9" t="inlineStr">
        <is>
          <t>indicator_versions</t>
        </is>
      </c>
      <c r="C74" s="6" t="inlineStr">
        <is>
          <t>formula_text</t>
        </is>
      </c>
      <c r="D74" s="6" t="inlineStr">
        <is>
          <t>text</t>
        </is>
      </c>
      <c r="E74" s="6" t="inlineStr"/>
      <c r="F74" s="6" t="inlineStr">
        <is>
          <t>N</t>
        </is>
      </c>
      <c r="G74" s="6" t="inlineStr"/>
      <c r="H74" s="6" t="inlineStr">
        <is>
          <t>Documentation only; never executed</t>
        </is>
      </c>
      <c r="I74" s="6" t="inlineStr">
        <is>
          <t>Formula as written in the Kobo form.</t>
        </is>
      </c>
      <c r="J74" s="6" t="inlineStr">
        <is>
          <t>round(value ÷ 7 × 100)</t>
        </is>
      </c>
      <c r="K74" s="18" t="n"/>
    </row>
    <row r="75">
      <c r="A75" s="9" t="inlineStr">
        <is>
          <t>Indicators</t>
        </is>
      </c>
      <c r="B75" s="9" t="inlineStr">
        <is>
          <t>indicator_versions</t>
        </is>
      </c>
      <c r="C75" s="6" t="inlineStr">
        <is>
          <t>frequency</t>
        </is>
      </c>
      <c r="D75" s="6" t="inlineStr">
        <is>
          <t>text</t>
        </is>
      </c>
      <c r="E75" s="6" t="inlineStr"/>
      <c r="F75" s="6" t="inlineStr">
        <is>
          <t>Y</t>
        </is>
      </c>
      <c r="G75" s="6" t="inlineStr"/>
      <c r="H75" s="6" t="inlineStr">
        <is>
          <t>annual | quarterly</t>
        </is>
      </c>
      <c r="I75" s="6" t="inlineStr"/>
      <c r="J75" s="6" t="inlineStr">
        <is>
          <t>annual</t>
        </is>
      </c>
      <c r="K75" s="18" t="n"/>
    </row>
    <row r="76">
      <c r="A76" s="9" t="inlineStr">
        <is>
          <t>Indicators</t>
        </is>
      </c>
      <c r="B76" s="9" t="inlineStr">
        <is>
          <t>indicator_versions</t>
        </is>
      </c>
      <c r="C76" s="6" t="inlineStr">
        <is>
          <t>data_source</t>
        </is>
      </c>
      <c r="D76" s="6" t="inlineStr">
        <is>
          <t>text</t>
        </is>
      </c>
      <c r="E76" s="6" t="inlineStr"/>
      <c r="F76" s="6" t="inlineStr">
        <is>
          <t>N</t>
        </is>
      </c>
      <c r="G76" s="6" t="inlineStr"/>
      <c r="H76" s="6" t="inlineStr"/>
      <c r="I76" s="6" t="inlineStr">
        <is>
          <t>Where the value comes from.</t>
        </is>
      </c>
      <c r="J76" s="6" t="inlineStr">
        <is>
          <t>Ministry annual Kobo report</t>
        </is>
      </c>
      <c r="K76" s="18" t="n"/>
    </row>
    <row r="77">
      <c r="A77" s="9" t="inlineStr">
        <is>
          <t>Indicators</t>
        </is>
      </c>
      <c r="B77" s="9" t="inlineStr">
        <is>
          <t>indicator_versions</t>
        </is>
      </c>
      <c r="C77" s="6" t="inlineStr">
        <is>
          <t>disaggregation</t>
        </is>
      </c>
      <c r="D77" s="6" t="inlineStr">
        <is>
          <t>text</t>
        </is>
      </c>
      <c r="E77" s="6" t="inlineStr"/>
      <c r="F77" s="6" t="inlineStr">
        <is>
          <t>N</t>
        </is>
      </c>
      <c r="G77" s="6" t="inlineStr"/>
      <c r="H77" s="6" t="inlineStr"/>
      <c r="I77" s="6" t="inlineStr">
        <is>
          <t>Breakdowns required.</t>
        </is>
      </c>
      <c r="J77" s="6" t="inlineStr">
        <is>
          <t>none</t>
        </is>
      </c>
      <c r="K77" s="18" t="n"/>
    </row>
    <row r="78">
      <c r="A78" s="9" t="inlineStr">
        <is>
          <t>Indicators</t>
        </is>
      </c>
      <c r="B78" s="9" t="inlineStr">
        <is>
          <t>indicator_versions</t>
        </is>
      </c>
      <c r="C78" s="6" t="inlineStr">
        <is>
          <t>limitations</t>
        </is>
      </c>
      <c r="D78" s="6" t="inlineStr">
        <is>
          <t>text</t>
        </is>
      </c>
      <c r="E78" s="6" t="inlineStr"/>
      <c r="F78" s="6" t="inlineStr">
        <is>
          <t>N</t>
        </is>
      </c>
      <c r="G78" s="6" t="inlineStr"/>
      <c r="H78" s="6" t="inlineStr"/>
      <c r="I78" s="6" t="inlineStr">
        <is>
          <t>Known limits of the indicator.</t>
        </is>
      </c>
      <c r="J78" s="6" t="inlineStr"/>
      <c r="K78" s="18" t="n"/>
    </row>
    <row r="79">
      <c r="A79" s="9" t="inlineStr">
        <is>
          <t>Indicators</t>
        </is>
      </c>
      <c r="B79" s="9" t="inlineStr">
        <is>
          <t>indicator_versions</t>
        </is>
      </c>
      <c r="C79" s="6" t="inlineStr">
        <is>
          <t>effective_from</t>
        </is>
      </c>
      <c r="D79" s="6" t="inlineStr">
        <is>
          <t>date</t>
        </is>
      </c>
      <c r="E79" s="6" t="inlineStr"/>
      <c r="F79" s="6" t="inlineStr">
        <is>
          <t>Y</t>
        </is>
      </c>
      <c r="G79" s="6" t="inlineStr"/>
      <c r="H79" s="6" t="inlineStr"/>
      <c r="I79" s="6" t="inlineStr">
        <is>
          <t>Date this definition applies from.</t>
        </is>
      </c>
      <c r="J79" s="6" t="inlineStr">
        <is>
          <t>2025-01-01</t>
        </is>
      </c>
      <c r="K79" s="18" t="n"/>
    </row>
    <row r="80">
      <c r="A80" s="9" t="inlineStr">
        <is>
          <t>Indicators</t>
        </is>
      </c>
      <c r="B80" s="9" t="inlineStr">
        <is>
          <t>indicator_versions</t>
        </is>
      </c>
      <c r="C80" s="6" t="inlineStr">
        <is>
          <t>change_note</t>
        </is>
      </c>
      <c r="D80" s="6" t="inlineStr">
        <is>
          <t>text</t>
        </is>
      </c>
      <c r="E80" s="6" t="inlineStr"/>
      <c r="F80" s="6" t="inlineStr">
        <is>
          <t>N</t>
        </is>
      </c>
      <c r="G80" s="6" t="inlineStr"/>
      <c r="H80" s="6" t="inlineStr">
        <is>
          <t>Required from version 2</t>
        </is>
      </c>
      <c r="I80" s="6" t="inlineStr">
        <is>
          <t>Why the definition changed.</t>
        </is>
      </c>
      <c r="J80" s="6" t="inlineStr"/>
      <c r="K80" s="18" t="n"/>
    </row>
    <row r="81">
      <c r="A81" s="9" t="inlineStr">
        <is>
          <t>Indicators</t>
        </is>
      </c>
      <c r="B81" s="9" t="inlineStr">
        <is>
          <t>indicator_versions</t>
        </is>
      </c>
      <c r="C81" s="6" t="inlineStr">
        <is>
          <t>locked</t>
        </is>
      </c>
      <c r="D81" s="6" t="inlineStr">
        <is>
          <t>boolean</t>
        </is>
      </c>
      <c r="E81" s="6" t="inlineStr"/>
      <c r="F81" s="6" t="inlineStr">
        <is>
          <t>Y</t>
        </is>
      </c>
      <c r="G81" s="6" t="inlineStr"/>
      <c r="H81" s="6" t="inlineStr">
        <is>
          <t>True once any result uses it; locked rows cannot change</t>
        </is>
      </c>
      <c r="I81" s="6" t="inlineStr">
        <is>
          <t>Protects historic results.</t>
        </is>
      </c>
      <c r="J81" s="6" t="inlineStr">
        <is>
          <t>true</t>
        </is>
      </c>
      <c r="K81" s="18" t="n"/>
    </row>
    <row r="82">
      <c r="A82" s="9" t="inlineStr">
        <is>
          <t>Indicators</t>
        </is>
      </c>
      <c r="B82" s="9" t="inlineStr">
        <is>
          <t>targets</t>
        </is>
      </c>
      <c r="C82" s="6" t="inlineStr">
        <is>
          <t>indicator_id</t>
        </is>
      </c>
      <c r="D82" s="6" t="inlineStr">
        <is>
          <t>uuid</t>
        </is>
      </c>
      <c r="E82" s="6" t="inlineStr">
        <is>
          <t>FK</t>
        </is>
      </c>
      <c r="F82" s="6" t="inlineStr">
        <is>
          <t>Y</t>
        </is>
      </c>
      <c r="G82" s="6" t="inlineStr">
        <is>
          <t>indicators.id</t>
        </is>
      </c>
      <c r="H82" s="6" t="inlineStr"/>
      <c r="I82" s="6" t="inlineStr">
        <is>
          <t>Indicator.</t>
        </is>
      </c>
      <c r="J82" s="6" t="inlineStr">
        <is>
          <t>AI-002</t>
        </is>
      </c>
      <c r="K82" s="18" t="n"/>
    </row>
    <row r="83">
      <c r="A83" s="9" t="inlineStr">
        <is>
          <t>Indicators</t>
        </is>
      </c>
      <c r="B83" s="9" t="inlineStr">
        <is>
          <t>targets</t>
        </is>
      </c>
      <c r="C83" s="6" t="inlineStr">
        <is>
          <t>year</t>
        </is>
      </c>
      <c r="D83" s="6" t="inlineStr">
        <is>
          <t>integer</t>
        </is>
      </c>
      <c r="E83" s="6" t="inlineStr"/>
      <c r="F83" s="6" t="inlineStr">
        <is>
          <t>Y</t>
        </is>
      </c>
      <c r="G83" s="6" t="inlineStr"/>
      <c r="H83" s="6" t="inlineStr"/>
      <c r="I83" s="6" t="inlineStr">
        <is>
          <t>Target year.</t>
        </is>
      </c>
      <c r="J83" s="6" t="inlineStr">
        <is>
          <t>2027</t>
        </is>
      </c>
      <c r="K83" s="18" t="n"/>
    </row>
    <row r="84">
      <c r="A84" s="9" t="inlineStr">
        <is>
          <t>Indicators</t>
        </is>
      </c>
      <c r="B84" s="9" t="inlineStr">
        <is>
          <t>targets</t>
        </is>
      </c>
      <c r="C84" s="6" t="inlineStr">
        <is>
          <t>revision_no</t>
        </is>
      </c>
      <c r="D84" s="6" t="inlineStr">
        <is>
          <t>integer</t>
        </is>
      </c>
      <c r="E84" s="6" t="inlineStr">
        <is>
          <t>UK</t>
        </is>
      </c>
      <c r="F84" s="6" t="inlineStr">
        <is>
          <t>Y</t>
        </is>
      </c>
      <c r="G84" s="6" t="inlineStr"/>
      <c r="H84" s="6" t="inlineStr">
        <is>
          <t>Unique with indicator and year</t>
        </is>
      </c>
      <c r="I84" s="6" t="inlineStr">
        <is>
          <t>Revision of this target.</t>
        </is>
      </c>
      <c r="J84" s="6" t="inlineStr">
        <is>
          <t>1</t>
        </is>
      </c>
      <c r="K84" s="18" t="n"/>
    </row>
    <row r="85">
      <c r="A85" s="9" t="inlineStr">
        <is>
          <t>Indicators</t>
        </is>
      </c>
      <c r="B85" s="9" t="inlineStr">
        <is>
          <t>targets</t>
        </is>
      </c>
      <c r="C85" s="6" t="inlineStr">
        <is>
          <t>value</t>
        </is>
      </c>
      <c r="D85" s="6" t="inlineStr">
        <is>
          <t>numeric</t>
        </is>
      </c>
      <c r="E85" s="6" t="inlineStr"/>
      <c r="F85" s="6" t="inlineStr">
        <is>
          <t>N</t>
        </is>
      </c>
      <c r="G85" s="6" t="inlineStr"/>
      <c r="H85" s="6" t="inlineStr">
        <is>
          <t>Empty for milestone indicators</t>
        </is>
      </c>
      <c r="I85" s="6" t="inlineStr">
        <is>
          <t>Target value.</t>
        </is>
      </c>
      <c r="J85" s="6" t="inlineStr">
        <is>
          <t>7</t>
        </is>
      </c>
      <c r="K85" s="18" t="n"/>
    </row>
    <row r="86">
      <c r="A86" s="9" t="inlineStr">
        <is>
          <t>Indicators</t>
        </is>
      </c>
      <c r="B86" s="9" t="inlineStr">
        <is>
          <t>targets</t>
        </is>
      </c>
      <c r="C86" s="6" t="inlineStr">
        <is>
          <t>target_text</t>
        </is>
      </c>
      <c r="D86" s="6" t="inlineStr">
        <is>
          <t>text</t>
        </is>
      </c>
      <c r="E86" s="6" t="inlineStr"/>
      <c r="F86" s="6" t="inlineStr">
        <is>
          <t>Y</t>
        </is>
      </c>
      <c r="G86" s="6" t="inlineStr"/>
      <c r="H86" s="6" t="inlineStr"/>
      <c r="I86" s="6" t="inlineStr">
        <is>
          <t>Target as written.</t>
        </is>
      </c>
      <c r="J86" s="6" t="inlineStr">
        <is>
          <t>7 varieties by 2027</t>
        </is>
      </c>
      <c r="K86" s="18" t="n"/>
    </row>
    <row r="87">
      <c r="A87" s="9" t="inlineStr">
        <is>
          <t>Indicators</t>
        </is>
      </c>
      <c r="B87" s="9" t="inlineStr">
        <is>
          <t>targets</t>
        </is>
      </c>
      <c r="C87" s="6" t="inlineStr">
        <is>
          <t>is_current</t>
        </is>
      </c>
      <c r="D87" s="6" t="inlineStr">
        <is>
          <t>boolean</t>
        </is>
      </c>
      <c r="E87" s="6" t="inlineStr"/>
      <c r="F87" s="6" t="inlineStr">
        <is>
          <t>Y</t>
        </is>
      </c>
      <c r="G87" s="6" t="inlineStr"/>
      <c r="H87" s="6" t="inlineStr">
        <is>
          <t>Only one current per indicator and year</t>
        </is>
      </c>
      <c r="I87" s="6" t="inlineStr">
        <is>
          <t>The target in force.</t>
        </is>
      </c>
      <c r="J87" s="6" t="inlineStr">
        <is>
          <t>true</t>
        </is>
      </c>
      <c r="K87" s="18" t="n"/>
    </row>
    <row r="88">
      <c r="A88" s="9" t="inlineStr">
        <is>
          <t>Indicators</t>
        </is>
      </c>
      <c r="B88" s="9" t="inlineStr">
        <is>
          <t>targets</t>
        </is>
      </c>
      <c r="C88" s="6" t="inlineStr">
        <is>
          <t>reason</t>
        </is>
      </c>
      <c r="D88" s="6" t="inlineStr">
        <is>
          <t>text</t>
        </is>
      </c>
      <c r="E88" s="6" t="inlineStr"/>
      <c r="F88" s="6" t="inlineStr">
        <is>
          <t>N</t>
        </is>
      </c>
      <c r="G88" s="6" t="inlineStr"/>
      <c r="H88" s="6" t="inlineStr">
        <is>
          <t>Required from revision 2</t>
        </is>
      </c>
      <c r="I88" s="6" t="inlineStr">
        <is>
          <t>Why the target was revised.</t>
        </is>
      </c>
      <c r="J88" s="6" t="inlineStr"/>
      <c r="K88" s="18" t="n"/>
    </row>
    <row r="89">
      <c r="A89" s="9" t="inlineStr">
        <is>
          <t>Indicators</t>
        </is>
      </c>
      <c r="B89" s="9" t="inlineStr">
        <is>
          <t>targets</t>
        </is>
      </c>
      <c r="C89" s="6" t="inlineStr">
        <is>
          <t>approved_by</t>
        </is>
      </c>
      <c r="D89" s="6" t="inlineStr">
        <is>
          <t>uuid</t>
        </is>
      </c>
      <c r="E89" s="6" t="inlineStr">
        <is>
          <t>FK</t>
        </is>
      </c>
      <c r="F89" s="6" t="inlineStr">
        <is>
          <t>N</t>
        </is>
      </c>
      <c r="G89" s="6" t="inlineStr">
        <is>
          <t>users.id</t>
        </is>
      </c>
      <c r="H89" s="6" t="inlineStr"/>
      <c r="I89" s="6" t="inlineStr">
        <is>
          <t>Who approved the target.</t>
        </is>
      </c>
      <c r="J89" s="6" t="inlineStr">
        <is>
          <t>Secretariat lead</t>
        </is>
      </c>
      <c r="K89" s="18" t="n"/>
    </row>
    <row r="90">
      <c r="A90" s="9" t="inlineStr">
        <is>
          <t>Indicators</t>
        </is>
      </c>
      <c r="B90" s="9" t="inlineStr">
        <is>
          <t>baselines</t>
        </is>
      </c>
      <c r="C90" s="6" t="inlineStr">
        <is>
          <t>indicator_id</t>
        </is>
      </c>
      <c r="D90" s="6" t="inlineStr">
        <is>
          <t>uuid</t>
        </is>
      </c>
      <c r="E90" s="6" t="inlineStr">
        <is>
          <t>FK</t>
        </is>
      </c>
      <c r="F90" s="6" t="inlineStr">
        <is>
          <t>Y</t>
        </is>
      </c>
      <c r="G90" s="6" t="inlineStr">
        <is>
          <t>indicators.id</t>
        </is>
      </c>
      <c r="H90" s="6" t="inlineStr"/>
      <c r="I90" s="6" t="inlineStr">
        <is>
          <t>Indicator.</t>
        </is>
      </c>
      <c r="J90" s="6" t="inlineStr">
        <is>
          <t>P2</t>
        </is>
      </c>
      <c r="K90" s="18" t="n"/>
    </row>
    <row r="91">
      <c r="A91" s="9" t="inlineStr">
        <is>
          <t>Indicators</t>
        </is>
      </c>
      <c r="B91" s="9" t="inlineStr">
        <is>
          <t>baselines</t>
        </is>
      </c>
      <c r="C91" s="6" t="inlineStr">
        <is>
          <t>year</t>
        </is>
      </c>
      <c r="D91" s="6" t="inlineStr">
        <is>
          <t>integer</t>
        </is>
      </c>
      <c r="E91" s="6" t="inlineStr"/>
      <c r="F91" s="6" t="inlineStr">
        <is>
          <t>Y</t>
        </is>
      </c>
      <c r="G91" s="6" t="inlineStr"/>
      <c r="H91" s="6" t="inlineStr"/>
      <c r="I91" s="6" t="inlineStr">
        <is>
          <t>Baseline year.</t>
        </is>
      </c>
      <c r="J91" s="6" t="inlineStr">
        <is>
          <t>2022</t>
        </is>
      </c>
      <c r="K91" s="18" t="n"/>
    </row>
    <row r="92">
      <c r="A92" s="9" t="inlineStr">
        <is>
          <t>Indicators</t>
        </is>
      </c>
      <c r="B92" s="9" t="inlineStr">
        <is>
          <t>baselines</t>
        </is>
      </c>
      <c r="C92" s="6" t="inlineStr">
        <is>
          <t>value</t>
        </is>
      </c>
      <c r="D92" s="6" t="inlineStr">
        <is>
          <t>numeric</t>
        </is>
      </c>
      <c r="E92" s="6" t="inlineStr"/>
      <c r="F92" s="6" t="inlineStr">
        <is>
          <t>N</t>
        </is>
      </c>
      <c r="G92" s="6" t="inlineStr"/>
      <c r="H92" s="6" t="inlineStr">
        <is>
          <t>Value OR missing_reason must be filled; zero is a real value</t>
        </is>
      </c>
      <c r="I92" s="6" t="inlineStr">
        <is>
          <t>Baseline value.</t>
        </is>
      </c>
      <c r="J92" s="6" t="inlineStr">
        <is>
          <t>508283</t>
        </is>
      </c>
      <c r="K92" s="18" t="n"/>
    </row>
    <row r="93">
      <c r="A93" s="9" t="inlineStr">
        <is>
          <t>Indicators</t>
        </is>
      </c>
      <c r="B93" s="9" t="inlineStr">
        <is>
          <t>baselines</t>
        </is>
      </c>
      <c r="C93" s="6" t="inlineStr">
        <is>
          <t>missing_reason</t>
        </is>
      </c>
      <c r="D93" s="6" t="inlineStr">
        <is>
          <t>text</t>
        </is>
      </c>
      <c r="E93" s="6" t="inlineStr"/>
      <c r="F93" s="6" t="inlineStr">
        <is>
          <t>N</t>
        </is>
      </c>
      <c r="G93" s="6" t="inlineStr"/>
      <c r="H93" s="6" t="inlineStr"/>
      <c r="I93" s="6" t="inlineStr">
        <is>
          <t>Why the baseline is unknown.</t>
        </is>
      </c>
      <c r="J93" s="6" t="inlineStr">
        <is>
          <t>No survey before 2025 (Q1)</t>
        </is>
      </c>
      <c r="K93" s="18" t="n"/>
    </row>
    <row r="94">
      <c r="A94" s="9" t="inlineStr">
        <is>
          <t>Indicators</t>
        </is>
      </c>
      <c r="B94" s="9" t="inlineStr">
        <is>
          <t>baselines</t>
        </is>
      </c>
      <c r="C94" s="6" t="inlineStr">
        <is>
          <t>source</t>
        </is>
      </c>
      <c r="D94" s="6" t="inlineStr">
        <is>
          <t>text</t>
        </is>
      </c>
      <c r="E94" s="6" t="inlineStr"/>
      <c r="F94" s="6" t="inlineStr">
        <is>
          <t>Y</t>
        </is>
      </c>
      <c r="G94" s="6" t="inlineStr"/>
      <c r="H94" s="6" t="inlineStr"/>
      <c r="I94" s="6" t="inlineStr">
        <is>
          <t>Where it comes from.</t>
        </is>
      </c>
      <c r="J94" s="6" t="inlineStr">
        <is>
          <t>MAFF Yearbook</t>
        </is>
      </c>
      <c r="K94" s="18" t="n"/>
    </row>
    <row r="95">
      <c r="A95" s="9" t="inlineStr">
        <is>
          <t>Indicators</t>
        </is>
      </c>
      <c r="B95" s="9" t="inlineStr">
        <is>
          <t>baselines</t>
        </is>
      </c>
      <c r="C95" s="6" t="inlineStr">
        <is>
          <t>evidence_file_id</t>
        </is>
      </c>
      <c r="D95" s="6" t="inlineStr">
        <is>
          <t>uuid</t>
        </is>
      </c>
      <c r="E95" s="6" t="inlineStr">
        <is>
          <t>FK</t>
        </is>
      </c>
      <c r="F95" s="6" t="inlineStr">
        <is>
          <t>N</t>
        </is>
      </c>
      <c r="G95" s="6" t="inlineStr">
        <is>
          <t>evidence_files.id</t>
        </is>
      </c>
      <c r="H95" s="6" t="inlineStr"/>
      <c r="I95" s="6" t="inlineStr">
        <is>
          <t>Supporting file.</t>
        </is>
      </c>
      <c r="J95" s="6" t="inlineStr"/>
      <c r="K95" s="18" t="n"/>
    </row>
    <row r="96">
      <c r="A96" s="9" t="inlineStr">
        <is>
          <t>Indicators</t>
        </is>
      </c>
      <c r="B96" s="9" t="inlineStr">
        <is>
          <t>reporting_years</t>
        </is>
      </c>
      <c r="C96" s="6" t="inlineStr">
        <is>
          <t>year</t>
        </is>
      </c>
      <c r="D96" s="6" t="inlineStr">
        <is>
          <t>integer</t>
        </is>
      </c>
      <c r="E96" s="6" t="inlineStr">
        <is>
          <t>UK</t>
        </is>
      </c>
      <c r="F96" s="6" t="inlineStr">
        <is>
          <t>Y</t>
        </is>
      </c>
      <c r="G96" s="6" t="inlineStr"/>
      <c r="H96" s="6" t="inlineStr">
        <is>
          <t>Unique in workspace</t>
        </is>
      </c>
      <c r="I96" s="6" t="inlineStr">
        <is>
          <t>Reporting year.</t>
        </is>
      </c>
      <c r="J96" s="6" t="inlineStr">
        <is>
          <t>2026</t>
        </is>
      </c>
      <c r="K96" s="18" t="n"/>
    </row>
    <row r="97">
      <c r="A97" s="9" t="inlineStr">
        <is>
          <t>Indicators</t>
        </is>
      </c>
      <c r="B97" s="9" t="inlineStr">
        <is>
          <t>reporting_years</t>
        </is>
      </c>
      <c r="C97" s="6" t="inlineStr">
        <is>
          <t>starts_on</t>
        </is>
      </c>
      <c r="D97" s="6" t="inlineStr">
        <is>
          <t>date</t>
        </is>
      </c>
      <c r="E97" s="6" t="inlineStr"/>
      <c r="F97" s="6" t="inlineStr">
        <is>
          <t>Y</t>
        </is>
      </c>
      <c r="G97" s="6" t="inlineStr"/>
      <c r="H97" s="6" t="inlineStr"/>
      <c r="I97" s="6" t="inlineStr">
        <is>
          <t>Period start.</t>
        </is>
      </c>
      <c r="J97" s="6" t="inlineStr">
        <is>
          <t>2026-01-01</t>
        </is>
      </c>
      <c r="K97" s="18" t="n"/>
    </row>
    <row r="98">
      <c r="A98" s="9" t="inlineStr">
        <is>
          <t>Indicators</t>
        </is>
      </c>
      <c r="B98" s="9" t="inlineStr">
        <is>
          <t>reporting_years</t>
        </is>
      </c>
      <c r="C98" s="6" t="inlineStr">
        <is>
          <t>ends_on</t>
        </is>
      </c>
      <c r="D98" s="6" t="inlineStr">
        <is>
          <t>date</t>
        </is>
      </c>
      <c r="E98" s="6" t="inlineStr"/>
      <c r="F98" s="6" t="inlineStr">
        <is>
          <t>Y</t>
        </is>
      </c>
      <c r="G98" s="6" t="inlineStr"/>
      <c r="H98" s="6" t="inlineStr">
        <is>
          <t>≥ starts_on</t>
        </is>
      </c>
      <c r="I98" s="6" t="inlineStr">
        <is>
          <t>Period end.</t>
        </is>
      </c>
      <c r="J98" s="6" t="inlineStr">
        <is>
          <t>2026-12-31</t>
        </is>
      </c>
      <c r="K98" s="18" t="n"/>
    </row>
    <row r="99">
      <c r="A99" s="9" t="inlineStr">
        <is>
          <t>Indicators</t>
        </is>
      </c>
      <c r="B99" s="9" t="inlineStr">
        <is>
          <t>reporting_years</t>
        </is>
      </c>
      <c r="C99" s="6" t="inlineStr">
        <is>
          <t>deadline</t>
        </is>
      </c>
      <c r="D99" s="6" t="inlineStr">
        <is>
          <t>date</t>
        </is>
      </c>
      <c r="E99" s="6" t="inlineStr"/>
      <c r="F99" s="6" t="inlineStr">
        <is>
          <t>Y</t>
        </is>
      </c>
      <c r="G99" s="6" t="inlineStr"/>
      <c r="H99" s="6" t="inlineStr"/>
      <c r="I99" s="6" t="inlineStr">
        <is>
          <t>Submission deadline.</t>
        </is>
      </c>
      <c r="J99" s="6" t="inlineStr">
        <is>
          <t>2027-03-31</t>
        </is>
      </c>
      <c r="K99" s="18" t="n"/>
    </row>
    <row r="100">
      <c r="A100" s="9" t="inlineStr">
        <is>
          <t>Indicators</t>
        </is>
      </c>
      <c r="B100" s="9" t="inlineStr">
        <is>
          <t>reporting_years</t>
        </is>
      </c>
      <c r="C100" s="6" t="inlineStr">
        <is>
          <t>largely_threshold_pct</t>
        </is>
      </c>
      <c r="D100" s="6" t="inlineStr">
        <is>
          <t>numeric</t>
        </is>
      </c>
      <c r="E100" s="6" t="inlineStr"/>
      <c r="F100" s="6" t="inlineStr">
        <is>
          <t>Y</t>
        </is>
      </c>
      <c r="G100" s="6" t="inlineStr"/>
      <c r="H100" s="6" t="inlineStr">
        <is>
          <t>0–100</t>
        </is>
      </c>
      <c r="I100" s="6" t="inlineStr">
        <is>
          <t>Minimum % for 'Largely achieved'.</t>
        </is>
      </c>
      <c r="J100" s="6" t="inlineStr">
        <is>
          <t>70</t>
        </is>
      </c>
      <c r="K100" s="18" t="n"/>
    </row>
    <row r="101">
      <c r="A101" s="9" t="inlineStr">
        <is>
          <t>Indicators</t>
        </is>
      </c>
      <c r="B101" s="9" t="inlineStr">
        <is>
          <t>reporting_years</t>
        </is>
      </c>
      <c r="C101" s="6" t="inlineStr">
        <is>
          <t>fully_threshold_pct</t>
        </is>
      </c>
      <c r="D101" s="6" t="inlineStr">
        <is>
          <t>numeric</t>
        </is>
      </c>
      <c r="E101" s="6" t="inlineStr"/>
      <c r="F101" s="6" t="inlineStr">
        <is>
          <t>Y</t>
        </is>
      </c>
      <c r="G101" s="6" t="inlineStr"/>
      <c r="H101" s="6" t="inlineStr">
        <is>
          <t>0–100, ≥ largely</t>
        </is>
      </c>
      <c r="I101" s="6" t="inlineStr">
        <is>
          <t>Minimum % for 'Fully achieved'.</t>
        </is>
      </c>
      <c r="J101" s="6" t="inlineStr">
        <is>
          <t>100</t>
        </is>
      </c>
      <c r="K101" s="18" t="n"/>
    </row>
    <row r="102">
      <c r="A102" s="9" t="inlineStr">
        <is>
          <t>Indicators</t>
        </is>
      </c>
      <c r="B102" s="9" t="inlineStr">
        <is>
          <t>reporting_years</t>
        </is>
      </c>
      <c r="C102" s="6" t="inlineStr">
        <is>
          <t>status</t>
        </is>
      </c>
      <c r="D102" s="6" t="inlineStr">
        <is>
          <t>text</t>
        </is>
      </c>
      <c r="E102" s="6" t="inlineStr"/>
      <c r="F102" s="6" t="inlineStr">
        <is>
          <t>Y</t>
        </is>
      </c>
      <c r="G102" s="6" t="inlineStr"/>
      <c r="H102" s="6" t="inlineStr">
        <is>
          <t>upcoming | open | verification | closed</t>
        </is>
      </c>
      <c r="I102" s="6" t="inlineStr">
        <is>
          <t>Where the cycle is.</t>
        </is>
      </c>
      <c r="J102" s="6" t="inlineStr">
        <is>
          <t>upcoming</t>
        </is>
      </c>
      <c r="K102" s="18" t="n"/>
    </row>
    <row r="103">
      <c r="A103" s="10" t="inlineStr">
        <is>
          <t>Collection</t>
        </is>
      </c>
      <c r="B103" s="10" t="inlineStr">
        <is>
          <t>forms</t>
        </is>
      </c>
      <c r="C103" s="6" t="inlineStr">
        <is>
          <t>code</t>
        </is>
      </c>
      <c r="D103" s="6" t="inlineStr">
        <is>
          <t>text</t>
        </is>
      </c>
      <c r="E103" s="6" t="inlineStr">
        <is>
          <t>UK</t>
        </is>
      </c>
      <c r="F103" s="6" t="inlineStr">
        <is>
          <t>Y</t>
        </is>
      </c>
      <c r="G103" s="6" t="inlineStr"/>
      <c r="H103" s="6" t="inlineStr">
        <is>
          <t>Unique in workspace</t>
        </is>
      </c>
      <c r="I103" s="6" t="inlineStr">
        <is>
          <t>Short code.</t>
        </is>
      </c>
      <c r="J103" s="6" t="inlineStr">
        <is>
          <t>cashew-indicator-report</t>
        </is>
      </c>
      <c r="K103" s="18" t="n"/>
    </row>
    <row r="104">
      <c r="A104" s="10" t="inlineStr">
        <is>
          <t>Collection</t>
        </is>
      </c>
      <c r="B104" s="10" t="inlineStr">
        <is>
          <t>forms</t>
        </is>
      </c>
      <c r="C104" s="6" t="inlineStr">
        <is>
          <t>title_en</t>
        </is>
      </c>
      <c r="D104" s="6" t="inlineStr">
        <is>
          <t>text</t>
        </is>
      </c>
      <c r="E104" s="6" t="inlineStr"/>
      <c r="F104" s="6" t="inlineStr">
        <is>
          <t>Y</t>
        </is>
      </c>
      <c r="G104" s="6" t="inlineStr"/>
      <c r="H104" s="6" t="inlineStr"/>
      <c r="I104" s="6" t="inlineStr">
        <is>
          <t>Title.</t>
        </is>
      </c>
      <c r="J104" s="6" t="inlineStr">
        <is>
          <t>CASHEW INDICATOR REPORT</t>
        </is>
      </c>
      <c r="K104" s="18" t="n"/>
    </row>
    <row r="105">
      <c r="A105" s="10" t="inlineStr">
        <is>
          <t>Collection</t>
        </is>
      </c>
      <c r="B105" s="10" t="inlineStr">
        <is>
          <t>forms</t>
        </is>
      </c>
      <c r="C105" s="6" t="inlineStr">
        <is>
          <t>title_km</t>
        </is>
      </c>
      <c r="D105" s="6" t="inlineStr">
        <is>
          <t>text</t>
        </is>
      </c>
      <c r="E105" s="6" t="inlineStr"/>
      <c r="F105" s="6" t="inlineStr">
        <is>
          <t>N</t>
        </is>
      </c>
      <c r="G105" s="6" t="inlineStr"/>
      <c r="H105" s="6" t="inlineStr"/>
      <c r="I105" s="6" t="inlineStr">
        <is>
          <t>Title in Khmer.</t>
        </is>
      </c>
      <c r="J105" s="6" t="inlineStr"/>
      <c r="K105" s="18" t="n"/>
    </row>
    <row r="106">
      <c r="A106" s="10" t="inlineStr">
        <is>
          <t>Collection</t>
        </is>
      </c>
      <c r="B106" s="10" t="inlineStr">
        <is>
          <t>forms</t>
        </is>
      </c>
      <c r="C106" s="6" t="inlineStr">
        <is>
          <t>level</t>
        </is>
      </c>
      <c r="D106" s="6" t="inlineStr">
        <is>
          <t>text</t>
        </is>
      </c>
      <c r="E106" s="6" t="inlineStr"/>
      <c r="F106" s="6" t="inlineStr">
        <is>
          <t>Y</t>
        </is>
      </c>
      <c r="G106" s="6" t="inlineStr"/>
      <c r="H106" s="6" t="inlineStr">
        <is>
          <t>action | outcome</t>
        </is>
      </c>
      <c r="I106" s="6" t="inlineStr">
        <is>
          <t>Which monitoring level it feeds.</t>
        </is>
      </c>
      <c r="J106" s="6" t="inlineStr">
        <is>
          <t>action</t>
        </is>
      </c>
      <c r="K106" s="18" t="n"/>
    </row>
    <row r="107">
      <c r="A107" s="10" t="inlineStr">
        <is>
          <t>Collection</t>
        </is>
      </c>
      <c r="B107" s="10" t="inlineStr">
        <is>
          <t>forms</t>
        </is>
      </c>
      <c r="C107" s="6" t="inlineStr">
        <is>
          <t>channel</t>
        </is>
      </c>
      <c r="D107" s="6" t="inlineStr">
        <is>
          <t>text</t>
        </is>
      </c>
      <c r="E107" s="6" t="inlineStr"/>
      <c r="F107" s="6" t="inlineStr">
        <is>
          <t>Y</t>
        </is>
      </c>
      <c r="G107" s="6" t="inlineStr"/>
      <c r="H107" s="6" t="inlineStr">
        <is>
          <t>native | kobo</t>
        </is>
      </c>
      <c r="I107" s="6" t="inlineStr">
        <is>
          <t>Where respondents fill it.</t>
        </is>
      </c>
      <c r="J107" s="6" t="inlineStr">
        <is>
          <t>kobo</t>
        </is>
      </c>
      <c r="K107" s="18" t="n"/>
    </row>
    <row r="108">
      <c r="A108" s="10" t="inlineStr">
        <is>
          <t>Collection</t>
        </is>
      </c>
      <c r="B108" s="10" t="inlineStr">
        <is>
          <t>forms</t>
        </is>
      </c>
      <c r="C108" s="6" t="inlineStr">
        <is>
          <t>kobo_asset_id</t>
        </is>
      </c>
      <c r="D108" s="6" t="inlineStr">
        <is>
          <t>text</t>
        </is>
      </c>
      <c r="E108" s="6" t="inlineStr"/>
      <c r="F108" s="6" t="inlineStr">
        <is>
          <t>N</t>
        </is>
      </c>
      <c r="G108" s="6" t="inlineStr"/>
      <c r="H108" s="6" t="inlineStr">
        <is>
          <t>Required when channel = kobo</t>
        </is>
      </c>
      <c r="I108" s="6" t="inlineStr">
        <is>
          <t>Kobo project ID.</t>
        </is>
      </c>
      <c r="J108" s="6" t="inlineStr">
        <is>
          <t>aB3dE…</t>
        </is>
      </c>
      <c r="K108" s="18" t="n"/>
    </row>
    <row r="109">
      <c r="A109" s="10" t="inlineStr">
        <is>
          <t>Collection</t>
        </is>
      </c>
      <c r="B109" s="10" t="inlineStr">
        <is>
          <t>forms</t>
        </is>
      </c>
      <c r="C109" s="6" t="inlineStr">
        <is>
          <t>active_version_id</t>
        </is>
      </c>
      <c r="D109" s="6" t="inlineStr">
        <is>
          <t>uuid</t>
        </is>
      </c>
      <c r="E109" s="6" t="inlineStr">
        <is>
          <t>FK</t>
        </is>
      </c>
      <c r="F109" s="6" t="inlineStr">
        <is>
          <t>N</t>
        </is>
      </c>
      <c r="G109" s="6" t="inlineStr">
        <is>
          <t>form_versions.id</t>
        </is>
      </c>
      <c r="H109" s="6" t="inlineStr"/>
      <c r="I109" s="6" t="inlineStr">
        <is>
          <t>Version currently collected.</t>
        </is>
      </c>
      <c r="J109" s="6" t="inlineStr">
        <is>
          <t>v2026051204</t>
        </is>
      </c>
      <c r="K109" s="18" t="n"/>
    </row>
    <row r="110">
      <c r="A110" s="10" t="inlineStr">
        <is>
          <t>Collection</t>
        </is>
      </c>
      <c r="B110" s="10" t="inlineStr">
        <is>
          <t>forms</t>
        </is>
      </c>
      <c r="C110" s="6" t="inlineStr">
        <is>
          <t>status</t>
        </is>
      </c>
      <c r="D110" s="6" t="inlineStr">
        <is>
          <t>text</t>
        </is>
      </c>
      <c r="E110" s="6" t="inlineStr"/>
      <c r="F110" s="6" t="inlineStr">
        <is>
          <t>Y</t>
        </is>
      </c>
      <c r="G110" s="6" t="inlineStr"/>
      <c r="H110" s="6" t="inlineStr">
        <is>
          <t>draft | published | retired</t>
        </is>
      </c>
      <c r="I110" s="6" t="inlineStr"/>
      <c r="J110" s="6" t="inlineStr">
        <is>
          <t>published</t>
        </is>
      </c>
      <c r="K110" s="18" t="n"/>
    </row>
    <row r="111">
      <c r="A111" s="10" t="inlineStr">
        <is>
          <t>Collection</t>
        </is>
      </c>
      <c r="B111" s="10" t="inlineStr">
        <is>
          <t>form_versions</t>
        </is>
      </c>
      <c r="C111" s="6" t="inlineStr">
        <is>
          <t>form_id</t>
        </is>
      </c>
      <c r="D111" s="6" t="inlineStr">
        <is>
          <t>uuid</t>
        </is>
      </c>
      <c r="E111" s="6" t="inlineStr">
        <is>
          <t>FK</t>
        </is>
      </c>
      <c r="F111" s="6" t="inlineStr">
        <is>
          <t>Y</t>
        </is>
      </c>
      <c r="G111" s="6" t="inlineStr">
        <is>
          <t>forms.id</t>
        </is>
      </c>
      <c r="H111" s="6" t="inlineStr">
        <is>
          <t>Unique with version_label</t>
        </is>
      </c>
      <c r="I111" s="6" t="inlineStr">
        <is>
          <t>Form.</t>
        </is>
      </c>
      <c r="J111" s="6" t="inlineStr">
        <is>
          <t>cashew-indicator-report</t>
        </is>
      </c>
      <c r="K111" s="18" t="n"/>
    </row>
    <row r="112">
      <c r="A112" s="10" t="inlineStr">
        <is>
          <t>Collection</t>
        </is>
      </c>
      <c r="B112" s="10" t="inlineStr">
        <is>
          <t>form_versions</t>
        </is>
      </c>
      <c r="C112" s="6" t="inlineStr">
        <is>
          <t>version_label</t>
        </is>
      </c>
      <c r="D112" s="6" t="inlineStr">
        <is>
          <t>text</t>
        </is>
      </c>
      <c r="E112" s="6" t="inlineStr">
        <is>
          <t>UK</t>
        </is>
      </c>
      <c r="F112" s="6" t="inlineStr">
        <is>
          <t>Y</t>
        </is>
      </c>
      <c r="G112" s="6" t="inlineStr"/>
      <c r="H112" s="6" t="inlineStr"/>
      <c r="I112" s="6" t="inlineStr">
        <is>
          <t>Version as shown to users.</t>
        </is>
      </c>
      <c r="J112" s="6" t="inlineStr">
        <is>
          <t>2026051204</t>
        </is>
      </c>
      <c r="K112" s="18" t="n"/>
    </row>
    <row r="113">
      <c r="A113" s="10" t="inlineStr">
        <is>
          <t>Collection</t>
        </is>
      </c>
      <c r="B113" s="10" t="inlineStr">
        <is>
          <t>form_versions</t>
        </is>
      </c>
      <c r="C113" s="6" t="inlineStr">
        <is>
          <t>schema_json</t>
        </is>
      </c>
      <c r="D113" s="6" t="inlineStr">
        <is>
          <t>jsonb</t>
        </is>
      </c>
      <c r="E113" s="6" t="inlineStr"/>
      <c r="F113" s="6" t="inlineStr">
        <is>
          <t>Y</t>
        </is>
      </c>
      <c r="G113" s="6" t="inlineStr"/>
      <c r="H113" s="6" t="inlineStr">
        <is>
          <t>Frozen once published</t>
        </is>
      </c>
      <c r="I113" s="6" t="inlineStr">
        <is>
          <t>Full question structure.</t>
        </is>
      </c>
      <c r="J113" s="6" t="inlineStr">
        <is>
          <t>{…}</t>
        </is>
      </c>
      <c r="K113" s="18" t="n"/>
    </row>
    <row r="114">
      <c r="A114" s="10" t="inlineStr">
        <is>
          <t>Collection</t>
        </is>
      </c>
      <c r="B114" s="10" t="inlineStr">
        <is>
          <t>form_versions</t>
        </is>
      </c>
      <c r="C114" s="6" t="inlineStr">
        <is>
          <t>schema_hash</t>
        </is>
      </c>
      <c r="D114" s="6" t="inlineStr">
        <is>
          <t>text</t>
        </is>
      </c>
      <c r="E114" s="6" t="inlineStr"/>
      <c r="F114" s="6" t="inlineStr">
        <is>
          <t>Y</t>
        </is>
      </c>
      <c r="G114" s="6" t="inlineStr"/>
      <c r="H114" s="6" t="inlineStr">
        <is>
          <t>SHA-256 of schema_json</t>
        </is>
      </c>
      <c r="I114" s="6" t="inlineStr">
        <is>
          <t>Proves the schema did not change.</t>
        </is>
      </c>
      <c r="J114" s="6" t="inlineStr">
        <is>
          <t>9e1c…</t>
        </is>
      </c>
      <c r="K114" s="18" t="n"/>
    </row>
    <row r="115">
      <c r="A115" s="10" t="inlineStr">
        <is>
          <t>Collection</t>
        </is>
      </c>
      <c r="B115" s="10" t="inlineStr">
        <is>
          <t>form_versions</t>
        </is>
      </c>
      <c r="C115" s="6" t="inlineStr">
        <is>
          <t>published_at</t>
        </is>
      </c>
      <c r="D115" s="6" t="inlineStr">
        <is>
          <t>timestamptz</t>
        </is>
      </c>
      <c r="E115" s="6" t="inlineStr"/>
      <c r="F115" s="6" t="inlineStr">
        <is>
          <t>N</t>
        </is>
      </c>
      <c r="G115" s="6" t="inlineStr"/>
      <c r="H115" s="6" t="inlineStr"/>
      <c r="I115" s="6" t="inlineStr">
        <is>
          <t>When published.</t>
        </is>
      </c>
      <c r="J115" s="6" t="inlineStr">
        <is>
          <t>2026-05-12</t>
        </is>
      </c>
      <c r="K115" s="18" t="n"/>
    </row>
    <row r="116">
      <c r="A116" s="10" t="inlineStr">
        <is>
          <t>Collection</t>
        </is>
      </c>
      <c r="B116" s="10" t="inlineStr">
        <is>
          <t>form_versions</t>
        </is>
      </c>
      <c r="C116" s="6" t="inlineStr">
        <is>
          <t>published_by</t>
        </is>
      </c>
      <c r="D116" s="6" t="inlineStr">
        <is>
          <t>uuid</t>
        </is>
      </c>
      <c r="E116" s="6" t="inlineStr">
        <is>
          <t>FK</t>
        </is>
      </c>
      <c r="F116" s="6" t="inlineStr">
        <is>
          <t>N</t>
        </is>
      </c>
      <c r="G116" s="6" t="inlineStr">
        <is>
          <t>users.id</t>
        </is>
      </c>
      <c r="H116" s="6" t="inlineStr"/>
      <c r="I116" s="6" t="inlineStr">
        <is>
          <t>Who published it.</t>
        </is>
      </c>
      <c r="J116" s="6" t="inlineStr">
        <is>
          <t>Secretariat lead</t>
        </is>
      </c>
      <c r="K116" s="18" t="n"/>
    </row>
    <row r="117">
      <c r="A117" s="10" t="inlineStr">
        <is>
          <t>Collection</t>
        </is>
      </c>
      <c r="B117" s="10" t="inlineStr">
        <is>
          <t>form_versions</t>
        </is>
      </c>
      <c r="C117" s="6" t="inlineStr">
        <is>
          <t>change_note</t>
        </is>
      </c>
      <c r="D117" s="6" t="inlineStr">
        <is>
          <t>text</t>
        </is>
      </c>
      <c r="E117" s="6" t="inlineStr"/>
      <c r="F117" s="6" t="inlineStr">
        <is>
          <t>N</t>
        </is>
      </c>
      <c r="G117" s="6" t="inlineStr"/>
      <c r="H117" s="6" t="inlineStr"/>
      <c r="I117" s="6" t="inlineStr">
        <is>
          <t>What changed.</t>
        </is>
      </c>
      <c r="J117" s="6" t="inlineStr">
        <is>
          <t>Added 2025 progress hints</t>
        </is>
      </c>
      <c r="K117" s="18" t="n"/>
    </row>
    <row r="118">
      <c r="A118" s="10" t="inlineStr">
        <is>
          <t>Collection</t>
        </is>
      </c>
      <c r="B118" s="10" t="inlineStr">
        <is>
          <t>questions</t>
        </is>
      </c>
      <c r="C118" s="6" t="inlineStr">
        <is>
          <t>form_version_id</t>
        </is>
      </c>
      <c r="D118" s="6" t="inlineStr">
        <is>
          <t>uuid</t>
        </is>
      </c>
      <c r="E118" s="6" t="inlineStr">
        <is>
          <t>FK</t>
        </is>
      </c>
      <c r="F118" s="6" t="inlineStr">
        <is>
          <t>Y</t>
        </is>
      </c>
      <c r="G118" s="6" t="inlineStr">
        <is>
          <t>form_versions.id</t>
        </is>
      </c>
      <c r="H118" s="6" t="inlineStr">
        <is>
          <t>Unique with field_name</t>
        </is>
      </c>
      <c r="I118" s="6" t="inlineStr">
        <is>
          <t>Form version.</t>
        </is>
      </c>
      <c r="J118" s="6" t="inlineStr">
        <is>
          <t>v2026051204</t>
        </is>
      </c>
      <c r="K118" s="18" t="n"/>
    </row>
    <row r="119">
      <c r="A119" s="10" t="inlineStr">
        <is>
          <t>Collection</t>
        </is>
      </c>
      <c r="B119" s="10" t="inlineStr">
        <is>
          <t>questions</t>
        </is>
      </c>
      <c r="C119" s="6" t="inlineStr">
        <is>
          <t>field_name</t>
        </is>
      </c>
      <c r="D119" s="6" t="inlineStr">
        <is>
          <t>text</t>
        </is>
      </c>
      <c r="E119" s="6" t="inlineStr">
        <is>
          <t>UK</t>
        </is>
      </c>
      <c r="F119" s="6" t="inlineStr">
        <is>
          <t>Y</t>
        </is>
      </c>
      <c r="G119" s="6" t="inlineStr"/>
      <c r="H119" s="6" t="inlineStr">
        <is>
          <t>Letters, digits, underscore; never reused with a new meaning</t>
        </is>
      </c>
      <c r="I119" s="6" t="inlineStr">
        <is>
          <t>Stable field ID.</t>
        </is>
      </c>
      <c r="J119" s="6" t="inlineStr">
        <is>
          <t>ind_002_value</t>
        </is>
      </c>
      <c r="K119" s="18" t="n"/>
    </row>
    <row r="120">
      <c r="A120" s="10" t="inlineStr">
        <is>
          <t>Collection</t>
        </is>
      </c>
      <c r="B120" s="10" t="inlineStr">
        <is>
          <t>questions</t>
        </is>
      </c>
      <c r="C120" s="6" t="inlineStr">
        <is>
          <t>indicator_id</t>
        </is>
      </c>
      <c r="D120" s="6" t="inlineStr">
        <is>
          <t>uuid</t>
        </is>
      </c>
      <c r="E120" s="6" t="inlineStr">
        <is>
          <t>FK</t>
        </is>
      </c>
      <c r="F120" s="6" t="inlineStr">
        <is>
          <t>N</t>
        </is>
      </c>
      <c r="G120" s="6" t="inlineStr">
        <is>
          <t>indicators.id</t>
        </is>
      </c>
      <c r="H120" s="6" t="inlineStr"/>
      <c r="I120" s="6" t="inlineStr">
        <is>
          <t>Indicator this question measures.</t>
        </is>
      </c>
      <c r="J120" s="6" t="inlineStr">
        <is>
          <t>AI-002</t>
        </is>
      </c>
      <c r="K120" s="18" t="n"/>
    </row>
    <row r="121">
      <c r="A121" s="10" t="inlineStr">
        <is>
          <t>Collection</t>
        </is>
      </c>
      <c r="B121" s="10" t="inlineStr">
        <is>
          <t>questions</t>
        </is>
      </c>
      <c r="C121" s="6" t="inlineStr">
        <is>
          <t>purpose</t>
        </is>
      </c>
      <c r="D121" s="6" t="inlineStr">
        <is>
          <t>text</t>
        </is>
      </c>
      <c r="E121" s="6" t="inlineStr"/>
      <c r="F121" s="6" t="inlineStr">
        <is>
          <t>Y</t>
        </is>
      </c>
      <c r="G121" s="6" t="inlineStr"/>
      <c r="H121" s="6" t="inlineStr">
        <is>
          <t>value | percentage | narrative | evidence | challenge | respondent | other</t>
        </is>
      </c>
      <c r="I121" s="6" t="inlineStr">
        <is>
          <t>Role of the question.</t>
        </is>
      </c>
      <c r="J121" s="6" t="inlineStr">
        <is>
          <t>value</t>
        </is>
      </c>
      <c r="K121" s="18" t="n"/>
    </row>
    <row r="122">
      <c r="A122" s="10" t="inlineStr">
        <is>
          <t>Collection</t>
        </is>
      </c>
      <c r="B122" s="10" t="inlineStr">
        <is>
          <t>questions</t>
        </is>
      </c>
      <c r="C122" s="6" t="inlineStr">
        <is>
          <t>type</t>
        </is>
      </c>
      <c r="D122" s="6" t="inlineStr">
        <is>
          <t>text</t>
        </is>
      </c>
      <c r="E122" s="6" t="inlineStr"/>
      <c r="F122" s="6" t="inlineStr">
        <is>
          <t>Y</t>
        </is>
      </c>
      <c r="G122" s="6" t="inlineStr"/>
      <c r="H122" s="6" t="inlineStr">
        <is>
          <t>See Allowed values: question type</t>
        </is>
      </c>
      <c r="I122" s="6" t="inlineStr">
        <is>
          <t>Answer type.</t>
        </is>
      </c>
      <c r="J122" s="6" t="inlineStr">
        <is>
          <t>integer</t>
        </is>
      </c>
      <c r="K122" s="18" t="n"/>
    </row>
    <row r="123">
      <c r="A123" s="10" t="inlineStr">
        <is>
          <t>Collection</t>
        </is>
      </c>
      <c r="B123" s="10" t="inlineStr">
        <is>
          <t>questions</t>
        </is>
      </c>
      <c r="C123" s="6" t="inlineStr">
        <is>
          <t>label_en</t>
        </is>
      </c>
      <c r="D123" s="6" t="inlineStr">
        <is>
          <t>text</t>
        </is>
      </c>
      <c r="E123" s="6" t="inlineStr"/>
      <c r="F123" s="6" t="inlineStr">
        <is>
          <t>Y</t>
        </is>
      </c>
      <c r="G123" s="6" t="inlineStr"/>
      <c r="H123" s="6" t="inlineStr"/>
      <c r="I123" s="6" t="inlineStr">
        <is>
          <t>Question in English.</t>
        </is>
      </c>
      <c r="J123" s="6" t="inlineStr">
        <is>
          <t>How many cashew varieties were officially registered…</t>
        </is>
      </c>
      <c r="K123" s="18" t="n"/>
    </row>
    <row r="124">
      <c r="A124" s="10" t="inlineStr">
        <is>
          <t>Collection</t>
        </is>
      </c>
      <c r="B124" s="10" t="inlineStr">
        <is>
          <t>questions</t>
        </is>
      </c>
      <c r="C124" s="6" t="inlineStr">
        <is>
          <t>label_km</t>
        </is>
      </c>
      <c r="D124" s="6" t="inlineStr">
        <is>
          <t>text</t>
        </is>
      </c>
      <c r="E124" s="6" t="inlineStr"/>
      <c r="F124" s="6" t="inlineStr">
        <is>
          <t>N</t>
        </is>
      </c>
      <c r="G124" s="6" t="inlineStr"/>
      <c r="H124" s="6" t="inlineStr"/>
      <c r="I124" s="6" t="inlineStr">
        <is>
          <t>Question in Khmer.</t>
        </is>
      </c>
      <c r="J124" s="6" t="inlineStr">
        <is>
          <t>តើចំនួនពូជស្វាយចន្ទីថ្មី…</t>
        </is>
      </c>
      <c r="K124" s="18" t="n"/>
    </row>
    <row r="125">
      <c r="A125" s="10" t="inlineStr">
        <is>
          <t>Collection</t>
        </is>
      </c>
      <c r="B125" s="10" t="inlineStr">
        <is>
          <t>questions</t>
        </is>
      </c>
      <c r="C125" s="6" t="inlineStr">
        <is>
          <t>hint_en</t>
        </is>
      </c>
      <c r="D125" s="6" t="inlineStr">
        <is>
          <t>text</t>
        </is>
      </c>
      <c r="E125" s="6" t="inlineStr"/>
      <c r="F125" s="6" t="inlineStr">
        <is>
          <t>N</t>
        </is>
      </c>
      <c r="G125" s="6" t="inlineStr"/>
      <c r="H125" s="6" t="inlineStr"/>
      <c r="I125" s="6" t="inlineStr">
        <is>
          <t>Help text.</t>
        </is>
      </c>
      <c r="J125" s="6" t="inlineStr">
        <is>
          <t>2025 reported progress: 4.</t>
        </is>
      </c>
      <c r="K125" s="18" t="n"/>
    </row>
    <row r="126">
      <c r="A126" s="10" t="inlineStr">
        <is>
          <t>Collection</t>
        </is>
      </c>
      <c r="B126" s="10" t="inlineStr">
        <is>
          <t>questions</t>
        </is>
      </c>
      <c r="C126" s="6" t="inlineStr">
        <is>
          <t>required</t>
        </is>
      </c>
      <c r="D126" s="6" t="inlineStr">
        <is>
          <t>boolean</t>
        </is>
      </c>
      <c r="E126" s="6" t="inlineStr"/>
      <c r="F126" s="6" t="inlineStr">
        <is>
          <t>Y</t>
        </is>
      </c>
      <c r="G126" s="6" t="inlineStr"/>
      <c r="H126" s="6" t="inlineStr"/>
      <c r="I126" s="6" t="inlineStr">
        <is>
          <t>Must be answered when visible.</t>
        </is>
      </c>
      <c r="J126" s="6" t="inlineStr">
        <is>
          <t>true</t>
        </is>
      </c>
      <c r="K126" s="18" t="n"/>
    </row>
    <row r="127">
      <c r="A127" s="10" t="inlineStr">
        <is>
          <t>Collection</t>
        </is>
      </c>
      <c r="B127" s="10" t="inlineStr">
        <is>
          <t>questions</t>
        </is>
      </c>
      <c r="C127" s="6" t="inlineStr">
        <is>
          <t>constraint_rule</t>
        </is>
      </c>
      <c r="D127" s="6" t="inlineStr">
        <is>
          <t>text</t>
        </is>
      </c>
      <c r="E127" s="6" t="inlineStr"/>
      <c r="F127" s="6" t="inlineStr">
        <is>
          <t>N</t>
        </is>
      </c>
      <c r="G127" s="6" t="inlineStr"/>
      <c r="H127" s="6" t="inlineStr">
        <is>
          <t>Allowlisted operators only; never executed as code</t>
        </is>
      </c>
      <c r="I127" s="6" t="inlineStr">
        <is>
          <t>Validation rule.</t>
        </is>
      </c>
      <c r="J127" s="6" t="inlineStr">
        <is>
          <t>. &gt;= 0 and . &lt;= 99</t>
        </is>
      </c>
      <c r="K127" s="18" t="n"/>
    </row>
    <row r="128">
      <c r="A128" s="10" t="inlineStr">
        <is>
          <t>Collection</t>
        </is>
      </c>
      <c r="B128" s="10" t="inlineStr">
        <is>
          <t>questions</t>
        </is>
      </c>
      <c r="C128" s="6" t="inlineStr">
        <is>
          <t>visible_when</t>
        </is>
      </c>
      <c r="D128" s="6" t="inlineStr">
        <is>
          <t>jsonb</t>
        </is>
      </c>
      <c r="E128" s="6" t="inlineStr"/>
      <c r="F128" s="6" t="inlineStr">
        <is>
          <t>N</t>
        </is>
      </c>
      <c r="G128" s="6" t="inlineStr"/>
      <c r="H128" s="6" t="inlineStr"/>
      <c r="I128" s="6" t="inlineStr">
        <is>
          <t>Condition for showing the question.</t>
        </is>
      </c>
      <c r="J128" s="6" t="inlineStr">
        <is>
          <t>{"field":"reporting_ministry","eq":"maff"}</t>
        </is>
      </c>
      <c r="K128" s="18" t="n"/>
    </row>
    <row r="129">
      <c r="A129" s="10" t="inlineStr">
        <is>
          <t>Collection</t>
        </is>
      </c>
      <c r="B129" s="10" t="inlineStr">
        <is>
          <t>questions</t>
        </is>
      </c>
      <c r="C129" s="6" t="inlineStr">
        <is>
          <t>sort_order</t>
        </is>
      </c>
      <c r="D129" s="6" t="inlineStr">
        <is>
          <t>integer</t>
        </is>
      </c>
      <c r="E129" s="6" t="inlineStr"/>
      <c r="F129" s="6" t="inlineStr">
        <is>
          <t>Y</t>
        </is>
      </c>
      <c r="G129" s="6" t="inlineStr"/>
      <c r="H129" s="6" t="inlineStr"/>
      <c r="I129" s="6" t="inlineStr">
        <is>
          <t>Position in the form.</t>
        </is>
      </c>
      <c r="J129" s="6" t="inlineStr">
        <is>
          <t>12</t>
        </is>
      </c>
      <c r="K129" s="18" t="n"/>
    </row>
    <row r="130">
      <c r="A130" s="10" t="inlineStr">
        <is>
          <t>Collection</t>
        </is>
      </c>
      <c r="B130" s="10" t="inlineStr">
        <is>
          <t>submissions</t>
        </is>
      </c>
      <c r="C130" s="6" t="inlineStr">
        <is>
          <t>code</t>
        </is>
      </c>
      <c r="D130" s="6" t="inlineStr">
        <is>
          <t>text</t>
        </is>
      </c>
      <c r="E130" s="6" t="inlineStr">
        <is>
          <t>UK</t>
        </is>
      </c>
      <c r="F130" s="6" t="inlineStr">
        <is>
          <t>Y</t>
        </is>
      </c>
      <c r="G130" s="6" t="inlineStr"/>
      <c r="H130" s="6" t="inlineStr">
        <is>
          <t>Unique in workspace</t>
        </is>
      </c>
      <c r="I130" s="6" t="inlineStr">
        <is>
          <t>Readable ID.</t>
        </is>
      </c>
      <c r="J130" s="6" t="inlineStr">
        <is>
          <t>RY2025-MAFF</t>
        </is>
      </c>
      <c r="K130" s="18" t="n"/>
    </row>
    <row r="131">
      <c r="A131" s="10" t="inlineStr">
        <is>
          <t>Collection</t>
        </is>
      </c>
      <c r="B131" s="10" t="inlineStr">
        <is>
          <t>submissions</t>
        </is>
      </c>
      <c r="C131" s="6" t="inlineStr">
        <is>
          <t>ministry_id</t>
        </is>
      </c>
      <c r="D131" s="6" t="inlineStr">
        <is>
          <t>uuid</t>
        </is>
      </c>
      <c r="E131" s="6" t="inlineStr">
        <is>
          <t>FK</t>
        </is>
      </c>
      <c r="F131" s="6" t="inlineStr">
        <is>
          <t>Y</t>
        </is>
      </c>
      <c r="G131" s="6" t="inlineStr">
        <is>
          <t>ministries.id</t>
        </is>
      </c>
      <c r="H131" s="6" t="inlineStr">
        <is>
          <t>Unique with reporting_year_id and form_id</t>
        </is>
      </c>
      <c r="I131" s="6" t="inlineStr">
        <is>
          <t>Reporting ministry.</t>
        </is>
      </c>
      <c r="J131" s="6" t="inlineStr">
        <is>
          <t>maff</t>
        </is>
      </c>
      <c r="K131" s="18" t="n"/>
    </row>
    <row r="132">
      <c r="A132" s="10" t="inlineStr">
        <is>
          <t>Collection</t>
        </is>
      </c>
      <c r="B132" s="10" t="inlineStr">
        <is>
          <t>submissions</t>
        </is>
      </c>
      <c r="C132" s="6" t="inlineStr">
        <is>
          <t>reporting_year_id</t>
        </is>
      </c>
      <c r="D132" s="6" t="inlineStr">
        <is>
          <t>uuid</t>
        </is>
      </c>
      <c r="E132" s="6" t="inlineStr">
        <is>
          <t>FK</t>
        </is>
      </c>
      <c r="F132" s="6" t="inlineStr">
        <is>
          <t>Y</t>
        </is>
      </c>
      <c r="G132" s="6" t="inlineStr">
        <is>
          <t>reporting_years.id</t>
        </is>
      </c>
      <c r="H132" s="6" t="inlineStr"/>
      <c r="I132" s="6" t="inlineStr">
        <is>
          <t>Year reported on.</t>
        </is>
      </c>
      <c r="J132" s="6" t="inlineStr">
        <is>
          <t>2025</t>
        </is>
      </c>
      <c r="K132" s="18" t="n"/>
    </row>
    <row r="133">
      <c r="A133" s="10" t="inlineStr">
        <is>
          <t>Collection</t>
        </is>
      </c>
      <c r="B133" s="10" t="inlineStr">
        <is>
          <t>submissions</t>
        </is>
      </c>
      <c r="C133" s="6" t="inlineStr">
        <is>
          <t>form_id</t>
        </is>
      </c>
      <c r="D133" s="6" t="inlineStr">
        <is>
          <t>uuid</t>
        </is>
      </c>
      <c r="E133" s="6" t="inlineStr">
        <is>
          <t>FK</t>
        </is>
      </c>
      <c r="F133" s="6" t="inlineStr">
        <is>
          <t>Y</t>
        </is>
      </c>
      <c r="G133" s="6" t="inlineStr">
        <is>
          <t>forms.id</t>
        </is>
      </c>
      <c r="H133" s="6" t="inlineStr"/>
      <c r="I133" s="6" t="inlineStr">
        <is>
          <t>Form used.</t>
        </is>
      </c>
      <c r="J133" s="6" t="inlineStr">
        <is>
          <t>cashew-indicator-report</t>
        </is>
      </c>
      <c r="K133" s="18" t="n"/>
    </row>
    <row r="134">
      <c r="A134" s="10" t="inlineStr">
        <is>
          <t>Collection</t>
        </is>
      </c>
      <c r="B134" s="10" t="inlineStr">
        <is>
          <t>submissions</t>
        </is>
      </c>
      <c r="C134" s="6" t="inlineStr">
        <is>
          <t>state</t>
        </is>
      </c>
      <c r="D134" s="6" t="inlineStr">
        <is>
          <t>text</t>
        </is>
      </c>
      <c r="E134" s="6" t="inlineStr"/>
      <c r="F134" s="6" t="inlineStr">
        <is>
          <t>Y</t>
        </is>
      </c>
      <c r="G134" s="6" t="inlineStr"/>
      <c r="H134" s="6" t="inlineStr">
        <is>
          <t>See Allowed values: submission state</t>
        </is>
      </c>
      <c r="I134" s="6" t="inlineStr">
        <is>
          <t>Current workflow state.</t>
        </is>
      </c>
      <c r="J134" s="6" t="inlineStr">
        <is>
          <t>approved</t>
        </is>
      </c>
      <c r="K134" s="18" t="n"/>
    </row>
    <row r="135">
      <c r="A135" s="10" t="inlineStr">
        <is>
          <t>Collection</t>
        </is>
      </c>
      <c r="B135" s="10" t="inlineStr">
        <is>
          <t>submissions</t>
        </is>
      </c>
      <c r="C135" s="6" t="inlineStr">
        <is>
          <t>current_revision_id</t>
        </is>
      </c>
      <c r="D135" s="6" t="inlineStr">
        <is>
          <t>uuid</t>
        </is>
      </c>
      <c r="E135" s="6" t="inlineStr">
        <is>
          <t>FK</t>
        </is>
      </c>
      <c r="F135" s="6" t="inlineStr">
        <is>
          <t>N</t>
        </is>
      </c>
      <c r="G135" s="6" t="inlineStr">
        <is>
          <t>submission_revisions.id</t>
        </is>
      </c>
      <c r="H135" s="6" t="inlineStr"/>
      <c r="I135" s="6" t="inlineStr">
        <is>
          <t>Latest revision.</t>
        </is>
      </c>
      <c r="J135" s="6" t="inlineStr">
        <is>
          <t>RY2025-MAFF r1</t>
        </is>
      </c>
      <c r="K135" s="18" t="n"/>
    </row>
    <row r="136">
      <c r="A136" s="10" t="inlineStr">
        <is>
          <t>Collection</t>
        </is>
      </c>
      <c r="B136" s="10" t="inlineStr">
        <is>
          <t>submissions</t>
        </is>
      </c>
      <c r="C136" s="6" t="inlineStr">
        <is>
          <t>approved_revision_id</t>
        </is>
      </c>
      <c r="D136" s="6" t="inlineStr">
        <is>
          <t>uuid</t>
        </is>
      </c>
      <c r="E136" s="6" t="inlineStr">
        <is>
          <t>FK</t>
        </is>
      </c>
      <c r="F136" s="6" t="inlineStr">
        <is>
          <t>N</t>
        </is>
      </c>
      <c r="G136" s="6" t="inlineStr">
        <is>
          <t>submission_revisions.id</t>
        </is>
      </c>
      <c r="H136" s="6" t="inlineStr"/>
      <c r="I136" s="6" t="inlineStr">
        <is>
          <t>Revision that was approved.</t>
        </is>
      </c>
      <c r="J136" s="6" t="inlineStr">
        <is>
          <t>RY2025-MAFF r1</t>
        </is>
      </c>
      <c r="K136" s="18" t="n"/>
    </row>
    <row r="137">
      <c r="A137" s="10" t="inlineStr">
        <is>
          <t>Collection</t>
        </is>
      </c>
      <c r="B137" s="10" t="inlineStr">
        <is>
          <t>submissions</t>
        </is>
      </c>
      <c r="C137" s="6" t="inlineStr">
        <is>
          <t>source</t>
        </is>
      </c>
      <c r="D137" s="6" t="inlineStr">
        <is>
          <t>text</t>
        </is>
      </c>
      <c r="E137" s="6" t="inlineStr"/>
      <c r="F137" s="6" t="inlineStr">
        <is>
          <t>Y</t>
        </is>
      </c>
      <c r="G137" s="6" t="inlineStr"/>
      <c r="H137" s="6" t="inlineStr">
        <is>
          <t>native | kobo_import</t>
        </is>
      </c>
      <c r="I137" s="6" t="inlineStr">
        <is>
          <t>How it arrived.</t>
        </is>
      </c>
      <c r="J137" s="6" t="inlineStr">
        <is>
          <t>kobo_import</t>
        </is>
      </c>
      <c r="K137" s="18" t="n"/>
    </row>
    <row r="138">
      <c r="A138" s="10" t="inlineStr">
        <is>
          <t>Collection</t>
        </is>
      </c>
      <c r="B138" s="10" t="inlineStr">
        <is>
          <t>submissions</t>
        </is>
      </c>
      <c r="C138" s="6" t="inlineStr">
        <is>
          <t>kobo_submission_id</t>
        </is>
      </c>
      <c r="D138" s="6" t="inlineStr">
        <is>
          <t>text</t>
        </is>
      </c>
      <c r="E138" s="6" t="inlineStr"/>
      <c r="F138" s="6" t="inlineStr">
        <is>
          <t>N</t>
        </is>
      </c>
      <c r="G138" s="6" t="inlineStr"/>
      <c r="H138" s="6" t="inlineStr">
        <is>
          <t>Unique per form when present</t>
        </is>
      </c>
      <c r="I138" s="6" t="inlineStr">
        <is>
          <t>Kobo record ID, prevents duplicate imports.</t>
        </is>
      </c>
      <c r="J138" s="6" t="inlineStr">
        <is>
          <t>200001</t>
        </is>
      </c>
      <c r="K138" s="18" t="n"/>
    </row>
    <row r="139">
      <c r="A139" s="10" t="inlineStr">
        <is>
          <t>Collection</t>
        </is>
      </c>
      <c r="B139" s="10" t="inlineStr">
        <is>
          <t>submissions</t>
        </is>
      </c>
      <c r="C139" s="6" t="inlineStr">
        <is>
          <t>is_illustrative</t>
        </is>
      </c>
      <c r="D139" s="6" t="inlineStr">
        <is>
          <t>boolean</t>
        </is>
      </c>
      <c r="E139" s="6" t="inlineStr"/>
      <c r="F139" s="6" t="inlineStr">
        <is>
          <t>Y</t>
        </is>
      </c>
      <c r="G139" s="6" t="inlineStr"/>
      <c r="H139" s="6" t="inlineStr">
        <is>
          <t>Default false</t>
        </is>
      </c>
      <c r="I139" s="6" t="inlineStr">
        <is>
          <t>Demo/training record excluded from official figures.</t>
        </is>
      </c>
      <c r="J139" s="6" t="inlineStr">
        <is>
          <t>false</t>
        </is>
      </c>
      <c r="K139" s="18" t="n"/>
    </row>
    <row r="140">
      <c r="A140" s="10" t="inlineStr">
        <is>
          <t>Collection</t>
        </is>
      </c>
      <c r="B140" s="10" t="inlineStr">
        <is>
          <t>submission_revisions</t>
        </is>
      </c>
      <c r="C140" s="6" t="inlineStr">
        <is>
          <t>submission_id</t>
        </is>
      </c>
      <c r="D140" s="6" t="inlineStr">
        <is>
          <t>uuid</t>
        </is>
      </c>
      <c r="E140" s="6" t="inlineStr">
        <is>
          <t>FK</t>
        </is>
      </c>
      <c r="F140" s="6" t="inlineStr">
        <is>
          <t>Y</t>
        </is>
      </c>
      <c r="G140" s="6" t="inlineStr">
        <is>
          <t>submissions.id</t>
        </is>
      </c>
      <c r="H140" s="6" t="inlineStr">
        <is>
          <t>Unique with revision_no</t>
        </is>
      </c>
      <c r="I140" s="6" t="inlineStr">
        <is>
          <t>Submission.</t>
        </is>
      </c>
      <c r="J140" s="6" t="inlineStr">
        <is>
          <t>RY2025-MAFF</t>
        </is>
      </c>
      <c r="K140" s="18" t="n"/>
    </row>
    <row r="141">
      <c r="A141" s="10" t="inlineStr">
        <is>
          <t>Collection</t>
        </is>
      </c>
      <c r="B141" s="10" t="inlineStr">
        <is>
          <t>submission_revisions</t>
        </is>
      </c>
      <c r="C141" s="6" t="inlineStr">
        <is>
          <t>revision_no</t>
        </is>
      </c>
      <c r="D141" s="6" t="inlineStr">
        <is>
          <t>integer</t>
        </is>
      </c>
      <c r="E141" s="6" t="inlineStr">
        <is>
          <t>UK</t>
        </is>
      </c>
      <c r="F141" s="6" t="inlineStr">
        <is>
          <t>Y</t>
        </is>
      </c>
      <c r="G141" s="6" t="inlineStr"/>
      <c r="H141" s="6" t="inlineStr">
        <is>
          <t>1, 2, 3…</t>
        </is>
      </c>
      <c r="I141" s="6" t="inlineStr">
        <is>
          <t>Revision number.</t>
        </is>
      </c>
      <c r="J141" s="6" t="inlineStr">
        <is>
          <t>1</t>
        </is>
      </c>
      <c r="K141" s="18" t="n"/>
    </row>
    <row r="142">
      <c r="A142" s="10" t="inlineStr">
        <is>
          <t>Collection</t>
        </is>
      </c>
      <c r="B142" s="10" t="inlineStr">
        <is>
          <t>submission_revisions</t>
        </is>
      </c>
      <c r="C142" s="6" t="inlineStr">
        <is>
          <t>form_version_id</t>
        </is>
      </c>
      <c r="D142" s="6" t="inlineStr">
        <is>
          <t>uuid</t>
        </is>
      </c>
      <c r="E142" s="6" t="inlineStr">
        <is>
          <t>FK</t>
        </is>
      </c>
      <c r="F142" s="6" t="inlineStr">
        <is>
          <t>Y</t>
        </is>
      </c>
      <c r="G142" s="6" t="inlineStr">
        <is>
          <t>form_versions.id</t>
        </is>
      </c>
      <c r="H142" s="6" t="inlineStr"/>
      <c r="I142" s="6" t="inlineStr">
        <is>
          <t>Form version answered.</t>
        </is>
      </c>
      <c r="J142" s="6" t="inlineStr">
        <is>
          <t>v2026051204</t>
        </is>
      </c>
      <c r="K142" s="18" t="n"/>
    </row>
    <row r="143">
      <c r="A143" s="10" t="inlineStr">
        <is>
          <t>Collection</t>
        </is>
      </c>
      <c r="B143" s="10" t="inlineStr">
        <is>
          <t>submission_revisions</t>
        </is>
      </c>
      <c r="C143" s="6" t="inlineStr">
        <is>
          <t>state</t>
        </is>
      </c>
      <c r="D143" s="6" t="inlineStr">
        <is>
          <t>text</t>
        </is>
      </c>
      <c r="E143" s="6" t="inlineStr"/>
      <c r="F143" s="6" t="inlineStr">
        <is>
          <t>Y</t>
        </is>
      </c>
      <c r="G143" s="6" t="inlineStr"/>
      <c r="H143" s="6" t="inlineStr">
        <is>
          <t>draft | submitted | in_review | returned | approved | rejected | superseded</t>
        </is>
      </c>
      <c r="I143" s="6" t="inlineStr">
        <is>
          <t>State of this revision.</t>
        </is>
      </c>
      <c r="J143" s="6" t="inlineStr">
        <is>
          <t>approved</t>
        </is>
      </c>
      <c r="K143" s="18" t="n"/>
    </row>
    <row r="144">
      <c r="A144" s="10" t="inlineStr">
        <is>
          <t>Collection</t>
        </is>
      </c>
      <c r="B144" s="10" t="inlineStr">
        <is>
          <t>submission_revisions</t>
        </is>
      </c>
      <c r="C144" s="6" t="inlineStr">
        <is>
          <t>respondent_name</t>
        </is>
      </c>
      <c r="D144" s="6" t="inlineStr">
        <is>
          <t>text</t>
        </is>
      </c>
      <c r="E144" s="6" t="inlineStr"/>
      <c r="F144" s="6" t="inlineStr">
        <is>
          <t>N</t>
        </is>
      </c>
      <c r="G144" s="6" t="inlineStr"/>
      <c r="H144" s="6" t="inlineStr">
        <is>
          <t>Personal data: visible to M&amp;E team only</t>
        </is>
      </c>
      <c r="I144" s="6" t="inlineStr">
        <is>
          <t>Person who filled it.</t>
        </is>
      </c>
      <c r="J144" s="6" t="inlineStr">
        <is>
          <t>(focal point name)</t>
        </is>
      </c>
      <c r="K144" s="18" t="n"/>
    </row>
    <row r="145">
      <c r="A145" s="10" t="inlineStr">
        <is>
          <t>Collection</t>
        </is>
      </c>
      <c r="B145" s="10" t="inlineStr">
        <is>
          <t>submission_revisions</t>
        </is>
      </c>
      <c r="C145" s="6" t="inlineStr">
        <is>
          <t>respondent_phone</t>
        </is>
      </c>
      <c r="D145" s="6" t="inlineStr">
        <is>
          <t>text</t>
        </is>
      </c>
      <c r="E145" s="6" t="inlineStr"/>
      <c r="F145" s="6" t="inlineStr">
        <is>
          <t>N</t>
        </is>
      </c>
      <c r="G145" s="6" t="inlineStr"/>
      <c r="H145" s="6" t="inlineStr">
        <is>
          <t>Personal data: visible to M&amp;E team only</t>
        </is>
      </c>
      <c r="I145" s="6" t="inlineStr">
        <is>
          <t>Contact number.</t>
        </is>
      </c>
      <c r="J145" s="6" t="inlineStr">
        <is>
          <t>(hidden)</t>
        </is>
      </c>
      <c r="K145" s="18" t="n"/>
    </row>
    <row r="146">
      <c r="A146" s="10" t="inlineStr">
        <is>
          <t>Collection</t>
        </is>
      </c>
      <c r="B146" s="10" t="inlineStr">
        <is>
          <t>submission_revisions</t>
        </is>
      </c>
      <c r="C146" s="6" t="inlineStr">
        <is>
          <t>entered_by</t>
        </is>
      </c>
      <c r="D146" s="6" t="inlineStr">
        <is>
          <t>uuid</t>
        </is>
      </c>
      <c r="E146" s="6" t="inlineStr">
        <is>
          <t>FK</t>
        </is>
      </c>
      <c r="F146" s="6" t="inlineStr">
        <is>
          <t>N</t>
        </is>
      </c>
      <c r="G146" s="6" t="inlineStr">
        <is>
          <t>users.id</t>
        </is>
      </c>
      <c r="H146" s="6" t="inlineStr"/>
      <c r="I146" s="6" t="inlineStr">
        <is>
          <t>Platform user who entered it.</t>
        </is>
      </c>
      <c r="J146" s="6" t="inlineStr">
        <is>
          <t>MAFF focal point</t>
        </is>
      </c>
      <c r="K146" s="18" t="n"/>
    </row>
    <row r="147">
      <c r="A147" s="10" t="inlineStr">
        <is>
          <t>Collection</t>
        </is>
      </c>
      <c r="B147" s="10" t="inlineStr">
        <is>
          <t>submission_revisions</t>
        </is>
      </c>
      <c r="C147" s="6" t="inlineStr">
        <is>
          <t>submitted_at</t>
        </is>
      </c>
      <c r="D147" s="6" t="inlineStr">
        <is>
          <t>timestamptz</t>
        </is>
      </c>
      <c r="E147" s="6" t="inlineStr"/>
      <c r="F147" s="6" t="inlineStr">
        <is>
          <t>N</t>
        </is>
      </c>
      <c r="G147" s="6" t="inlineStr"/>
      <c r="H147" s="6" t="inlineStr">
        <is>
          <t>Set when submitted; then the revision is locked</t>
        </is>
      </c>
      <c r="I147" s="6" t="inlineStr">
        <is>
          <t>When submitted.</t>
        </is>
      </c>
      <c r="J147" s="6" t="inlineStr">
        <is>
          <t>2026-03-24 10:42</t>
        </is>
      </c>
      <c r="K147" s="18" t="n"/>
    </row>
    <row r="148">
      <c r="A148" s="10" t="inlineStr">
        <is>
          <t>Collection</t>
        </is>
      </c>
      <c r="B148" s="10" t="inlineStr">
        <is>
          <t>submission_revisions</t>
        </is>
      </c>
      <c r="C148" s="6" t="inlineStr">
        <is>
          <t>payload_hash</t>
        </is>
      </c>
      <c r="D148" s="6" t="inlineStr">
        <is>
          <t>text</t>
        </is>
      </c>
      <c r="E148" s="6" t="inlineStr"/>
      <c r="F148" s="6" t="inlineStr">
        <is>
          <t>N</t>
        </is>
      </c>
      <c r="G148" s="6" t="inlineStr"/>
      <c r="H148" s="6" t="inlineStr">
        <is>
          <t>SHA-256 of all answers</t>
        </is>
      </c>
      <c r="I148" s="6" t="inlineStr">
        <is>
          <t>Proves answers did not change after submission.</t>
        </is>
      </c>
      <c r="J148" s="6" t="inlineStr">
        <is>
          <t>4b7a…</t>
        </is>
      </c>
      <c r="K148" s="18" t="n"/>
    </row>
    <row r="149">
      <c r="A149" s="10" t="inlineStr">
        <is>
          <t>Collection</t>
        </is>
      </c>
      <c r="B149" s="10" t="inlineStr">
        <is>
          <t>submission_revisions</t>
        </is>
      </c>
      <c r="C149" s="6" t="inlineStr">
        <is>
          <t>raw_payload</t>
        </is>
      </c>
      <c r="D149" s="6" t="inlineStr">
        <is>
          <t>jsonb</t>
        </is>
      </c>
      <c r="E149" s="6" t="inlineStr"/>
      <c r="F149" s="6" t="inlineStr">
        <is>
          <t>N</t>
        </is>
      </c>
      <c r="G149" s="6" t="inlineStr"/>
      <c r="H149" s="6" t="inlineStr">
        <is>
          <t>Visible to M&amp;E team only</t>
        </is>
      </c>
      <c r="I149" s="6" t="inlineStr">
        <is>
          <t>Original Kobo record, for traceability.</t>
        </is>
      </c>
      <c r="J149" s="6" t="inlineStr">
        <is>
          <t>{…}</t>
        </is>
      </c>
      <c r="K149" s="18" t="n"/>
    </row>
    <row r="150">
      <c r="A150" s="10" t="inlineStr">
        <is>
          <t>Collection</t>
        </is>
      </c>
      <c r="B150" s="10" t="inlineStr">
        <is>
          <t>answers</t>
        </is>
      </c>
      <c r="C150" s="6" t="inlineStr">
        <is>
          <t>revision_id</t>
        </is>
      </c>
      <c r="D150" s="6" t="inlineStr">
        <is>
          <t>uuid</t>
        </is>
      </c>
      <c r="E150" s="6" t="inlineStr">
        <is>
          <t>FK</t>
        </is>
      </c>
      <c r="F150" s="6" t="inlineStr">
        <is>
          <t>Y</t>
        </is>
      </c>
      <c r="G150" s="6" t="inlineStr">
        <is>
          <t>submission_revisions.id</t>
        </is>
      </c>
      <c r="H150" s="6" t="inlineStr">
        <is>
          <t>Unique with indicator_id</t>
        </is>
      </c>
      <c r="I150" s="6" t="inlineStr">
        <is>
          <t>Revision.</t>
        </is>
      </c>
      <c r="J150" s="6" t="inlineStr">
        <is>
          <t>RY2025-MAFF r1</t>
        </is>
      </c>
      <c r="K150" s="18" t="n"/>
    </row>
    <row r="151">
      <c r="A151" s="10" t="inlineStr">
        <is>
          <t>Collection</t>
        </is>
      </c>
      <c r="B151" s="10" t="inlineStr">
        <is>
          <t>answers</t>
        </is>
      </c>
      <c r="C151" s="6" t="inlineStr">
        <is>
          <t>indicator_id</t>
        </is>
      </c>
      <c r="D151" s="6" t="inlineStr">
        <is>
          <t>uuid</t>
        </is>
      </c>
      <c r="E151" s="6" t="inlineStr">
        <is>
          <t>FK</t>
        </is>
      </c>
      <c r="F151" s="6" t="inlineStr">
        <is>
          <t>Y</t>
        </is>
      </c>
      <c r="G151" s="6" t="inlineStr">
        <is>
          <t>indicators.id</t>
        </is>
      </c>
      <c r="H151" s="6" t="inlineStr">
        <is>
          <t>Indicator must be assigned to the submitting ministry</t>
        </is>
      </c>
      <c r="I151" s="6" t="inlineStr">
        <is>
          <t>Indicator answered.</t>
        </is>
      </c>
      <c r="J151" s="6" t="inlineStr">
        <is>
          <t>AI-002</t>
        </is>
      </c>
      <c r="K151" s="18" t="n"/>
    </row>
    <row r="152">
      <c r="A152" s="10" t="inlineStr">
        <is>
          <t>Collection</t>
        </is>
      </c>
      <c r="B152" s="10" t="inlineStr">
        <is>
          <t>answers</t>
        </is>
      </c>
      <c r="C152" s="6" t="inlineStr">
        <is>
          <t>indicator_version_id</t>
        </is>
      </c>
      <c r="D152" s="6" t="inlineStr">
        <is>
          <t>uuid</t>
        </is>
      </c>
      <c r="E152" s="6" t="inlineStr">
        <is>
          <t>FK</t>
        </is>
      </c>
      <c r="F152" s="6" t="inlineStr">
        <is>
          <t>Y</t>
        </is>
      </c>
      <c r="G152" s="6" t="inlineStr">
        <is>
          <t>indicator_versions.id</t>
        </is>
      </c>
      <c r="H152" s="6" t="inlineStr"/>
      <c r="I152" s="6" t="inlineStr">
        <is>
          <t>Definition in force when answered.</t>
        </is>
      </c>
      <c r="J152" s="6" t="inlineStr">
        <is>
          <t>AI-002 v1</t>
        </is>
      </c>
      <c r="K152" s="18" t="n"/>
    </row>
    <row r="153">
      <c r="A153" s="10" t="inlineStr">
        <is>
          <t>Collection</t>
        </is>
      </c>
      <c r="B153" s="10" t="inlineStr">
        <is>
          <t>answers</t>
        </is>
      </c>
      <c r="C153" s="6" t="inlineStr">
        <is>
          <t>value_number</t>
        </is>
      </c>
      <c r="D153" s="6" t="inlineStr">
        <is>
          <t>numeric</t>
        </is>
      </c>
      <c r="E153" s="6" t="inlineStr"/>
      <c r="F153" s="6" t="inlineStr">
        <is>
          <t>N</t>
        </is>
      </c>
      <c r="G153" s="6" t="inlineStr"/>
      <c r="H153" s="6" t="inlineStr">
        <is>
          <t>One of value_number / value_choice, unless not reported</t>
        </is>
      </c>
      <c r="I153" s="6" t="inlineStr">
        <is>
          <t>Numeric answer.</t>
        </is>
      </c>
      <c r="J153" s="6" t="inlineStr">
        <is>
          <t>4</t>
        </is>
      </c>
      <c r="K153" s="18" t="n"/>
    </row>
    <row r="154">
      <c r="A154" s="10" t="inlineStr">
        <is>
          <t>Collection</t>
        </is>
      </c>
      <c r="B154" s="10" t="inlineStr">
        <is>
          <t>answers</t>
        </is>
      </c>
      <c r="C154" s="6" t="inlineStr">
        <is>
          <t>value_choice</t>
        </is>
      </c>
      <c r="D154" s="6" t="inlineStr">
        <is>
          <t>text</t>
        </is>
      </c>
      <c r="E154" s="6" t="inlineStr"/>
      <c r="F154" s="6" t="inlineStr">
        <is>
          <t>N</t>
        </is>
      </c>
      <c r="G154" s="6" t="inlineStr"/>
      <c r="H154" s="6" t="inlineStr">
        <is>
          <t>completed | in_progress | not_started</t>
        </is>
      </c>
      <c r="I154" s="6" t="inlineStr">
        <is>
          <t>Milestone answer.</t>
        </is>
      </c>
      <c r="J154" s="6" t="inlineStr"/>
      <c r="K154" s="18" t="n"/>
    </row>
    <row r="155">
      <c r="A155" s="10" t="inlineStr">
        <is>
          <t>Collection</t>
        </is>
      </c>
      <c r="B155" s="10" t="inlineStr">
        <is>
          <t>answers</t>
        </is>
      </c>
      <c r="C155" s="6" t="inlineStr">
        <is>
          <t>pct_of_target</t>
        </is>
      </c>
      <c r="D155" s="6" t="inlineStr">
        <is>
          <t>numeric</t>
        </is>
      </c>
      <c r="E155" s="6" t="inlineStr"/>
      <c r="F155" s="6" t="inlineStr">
        <is>
          <t>N</t>
        </is>
      </c>
      <c r="G155" s="6" t="inlineStr"/>
      <c r="H155" s="6" t="inlineStr">
        <is>
          <t>Calculated by the server, never typed</t>
        </is>
      </c>
      <c r="I155" s="6" t="inlineStr">
        <is>
          <t>% of the 2027 target (not capped).</t>
        </is>
      </c>
      <c r="J155" s="6" t="inlineStr">
        <is>
          <t>57</t>
        </is>
      </c>
      <c r="K155" s="18" t="n"/>
    </row>
    <row r="156">
      <c r="A156" s="10" t="inlineStr">
        <is>
          <t>Collection</t>
        </is>
      </c>
      <c r="B156" s="10" t="inlineStr">
        <is>
          <t>answers</t>
        </is>
      </c>
      <c r="C156" s="6" t="inlineStr">
        <is>
          <t>narrative</t>
        </is>
      </c>
      <c r="D156" s="6" t="inlineStr">
        <is>
          <t>text</t>
        </is>
      </c>
      <c r="E156" s="6" t="inlineStr"/>
      <c r="F156" s="6" t="inlineStr">
        <is>
          <t>N</t>
        </is>
      </c>
      <c r="G156" s="6" t="inlineStr"/>
      <c r="H156" s="6" t="inlineStr">
        <is>
          <t>Required when pct &lt; 100</t>
        </is>
      </c>
      <c r="I156" s="6" t="inlineStr">
        <is>
          <t>Progress and key achievements.</t>
        </is>
      </c>
      <c r="J156" s="6" t="inlineStr">
        <is>
          <t>Four varieties released: M-23, M-10, IM-4, H-09</t>
        </is>
      </c>
      <c r="K156" s="18" t="n"/>
    </row>
    <row r="157">
      <c r="A157" s="10" t="inlineStr">
        <is>
          <t>Collection</t>
        </is>
      </c>
      <c r="B157" s="10" t="inlineStr">
        <is>
          <t>answers</t>
        </is>
      </c>
      <c r="C157" s="6" t="inlineStr">
        <is>
          <t>challenges</t>
        </is>
      </c>
      <c r="D157" s="6" t="inlineStr">
        <is>
          <t>text</t>
        </is>
      </c>
      <c r="E157" s="6" t="inlineStr"/>
      <c r="F157" s="6" t="inlineStr">
        <is>
          <t>N</t>
        </is>
      </c>
      <c r="G157" s="6" t="inlineStr"/>
      <c r="H157" s="6" t="inlineStr"/>
      <c r="I157" s="6" t="inlineStr">
        <is>
          <t>Challenges and solutions.</t>
        </is>
      </c>
      <c r="J157" s="6" t="inlineStr">
        <is>
          <t>Three varieties still under trial</t>
        </is>
      </c>
      <c r="K157" s="18" t="n"/>
    </row>
    <row r="158">
      <c r="A158" s="10" t="inlineStr">
        <is>
          <t>Collection</t>
        </is>
      </c>
      <c r="B158" s="10" t="inlineStr">
        <is>
          <t>answers</t>
        </is>
      </c>
      <c r="C158" s="6" t="inlineStr">
        <is>
          <t>not_reported_reason</t>
        </is>
      </c>
      <c r="D158" s="6" t="inlineStr">
        <is>
          <t>text</t>
        </is>
      </c>
      <c r="E158" s="6" t="inlineStr"/>
      <c r="F158" s="6" t="inlineStr">
        <is>
          <t>N</t>
        </is>
      </c>
      <c r="G158" s="6" t="inlineStr"/>
      <c r="H158" s="6" t="inlineStr"/>
      <c r="I158" s="6" t="inlineStr">
        <is>
          <t>Why no value.</t>
        </is>
      </c>
      <c r="J158" s="6" t="inlineStr"/>
      <c r="K158" s="18" t="n"/>
    </row>
    <row r="159">
      <c r="A159" s="10" t="inlineStr">
        <is>
          <t>Collection</t>
        </is>
      </c>
      <c r="B159" s="10" t="inlineStr">
        <is>
          <t>evidence_files</t>
        </is>
      </c>
      <c r="C159" s="6" t="inlineStr">
        <is>
          <t>answer_id</t>
        </is>
      </c>
      <c r="D159" s="6" t="inlineStr">
        <is>
          <t>uuid</t>
        </is>
      </c>
      <c r="E159" s="6" t="inlineStr">
        <is>
          <t>FK</t>
        </is>
      </c>
      <c r="F159" s="6" t="inlineStr">
        <is>
          <t>N</t>
        </is>
      </c>
      <c r="G159" s="6" t="inlineStr">
        <is>
          <t>answers.id</t>
        </is>
      </c>
      <c r="H159" s="6" t="inlineStr"/>
      <c r="I159" s="6" t="inlineStr">
        <is>
          <t>Answer supported.</t>
        </is>
      </c>
      <c r="J159" s="6" t="inlineStr">
        <is>
          <t>AI-002 answer</t>
        </is>
      </c>
      <c r="K159" s="18" t="n"/>
    </row>
    <row r="160">
      <c r="A160" s="10" t="inlineStr">
        <is>
          <t>Collection</t>
        </is>
      </c>
      <c r="B160" s="10" t="inlineStr">
        <is>
          <t>evidence_files</t>
        </is>
      </c>
      <c r="C160" s="6" t="inlineStr">
        <is>
          <t>file_name</t>
        </is>
      </c>
      <c r="D160" s="6" t="inlineStr">
        <is>
          <t>text</t>
        </is>
      </c>
      <c r="E160" s="6" t="inlineStr"/>
      <c r="F160" s="6" t="inlineStr">
        <is>
          <t>Y</t>
        </is>
      </c>
      <c r="G160" s="6" t="inlineStr"/>
      <c r="H160" s="6" t="inlineStr">
        <is>
          <t>Display only, never used as a path</t>
        </is>
      </c>
      <c r="I160" s="6" t="inlineStr">
        <is>
          <t>Original file name.</t>
        </is>
      </c>
      <c r="J160" s="6" t="inlineStr">
        <is>
          <t>variety-release-2025.pdf</t>
        </is>
      </c>
      <c r="K160" s="18" t="n"/>
    </row>
    <row r="161">
      <c r="A161" s="10" t="inlineStr">
        <is>
          <t>Collection</t>
        </is>
      </c>
      <c r="B161" s="10" t="inlineStr">
        <is>
          <t>evidence_files</t>
        </is>
      </c>
      <c r="C161" s="6" t="inlineStr">
        <is>
          <t>storage_key</t>
        </is>
      </c>
      <c r="D161" s="6" t="inlineStr">
        <is>
          <t>text</t>
        </is>
      </c>
      <c r="E161" s="6" t="inlineStr">
        <is>
          <t>UK</t>
        </is>
      </c>
      <c r="F161" s="6" t="inlineStr">
        <is>
          <t>Y</t>
        </is>
      </c>
      <c r="G161" s="6" t="inlineStr"/>
      <c r="H161" s="6" t="inlineStr">
        <is>
          <t>Generated; private bucket</t>
        </is>
      </c>
      <c r="I161" s="6" t="inlineStr">
        <is>
          <t>Location in file storage.</t>
        </is>
      </c>
      <c r="J161" s="6" t="inlineStr">
        <is>
          <t>ws/…/9f2a.pdf</t>
        </is>
      </c>
      <c r="K161" s="18" t="n"/>
    </row>
    <row r="162">
      <c r="A162" s="10" t="inlineStr">
        <is>
          <t>Collection</t>
        </is>
      </c>
      <c r="B162" s="10" t="inlineStr">
        <is>
          <t>evidence_files</t>
        </is>
      </c>
      <c r="C162" s="6" t="inlineStr">
        <is>
          <t>mime_type</t>
        </is>
      </c>
      <c r="D162" s="6" t="inlineStr">
        <is>
          <t>text</t>
        </is>
      </c>
      <c r="E162" s="6" t="inlineStr"/>
      <c r="F162" s="6" t="inlineStr">
        <is>
          <t>Y</t>
        </is>
      </c>
      <c r="G162" s="6" t="inlineStr"/>
      <c r="H162" s="6" t="inlineStr">
        <is>
          <t>Allowlist: pdf, jpg, png, xlsx, docx, csv</t>
        </is>
      </c>
      <c r="I162" s="6" t="inlineStr">
        <is>
          <t>File type (checked from content).</t>
        </is>
      </c>
      <c r="J162" s="6" t="inlineStr">
        <is>
          <t>application/pdf</t>
        </is>
      </c>
      <c r="K162" s="18" t="n"/>
    </row>
    <row r="163">
      <c r="A163" s="10" t="inlineStr">
        <is>
          <t>Collection</t>
        </is>
      </c>
      <c r="B163" s="10" t="inlineStr">
        <is>
          <t>evidence_files</t>
        </is>
      </c>
      <c r="C163" s="6" t="inlineStr">
        <is>
          <t>size_bytes</t>
        </is>
      </c>
      <c r="D163" s="6" t="inlineStr">
        <is>
          <t>bigint</t>
        </is>
      </c>
      <c r="E163" s="6" t="inlineStr"/>
      <c r="F163" s="6" t="inlineStr">
        <is>
          <t>Y</t>
        </is>
      </c>
      <c r="G163" s="6" t="inlineStr"/>
      <c r="H163" s="6" t="inlineStr">
        <is>
          <t>≤ 10 MB (configurable)</t>
        </is>
      </c>
      <c r="I163" s="6" t="inlineStr">
        <is>
          <t>File size.</t>
        </is>
      </c>
      <c r="J163" s="6" t="inlineStr">
        <is>
          <t>640000</t>
        </is>
      </c>
      <c r="K163" s="18" t="n"/>
    </row>
    <row r="164">
      <c r="A164" s="10" t="inlineStr">
        <is>
          <t>Collection</t>
        </is>
      </c>
      <c r="B164" s="10" t="inlineStr">
        <is>
          <t>evidence_files</t>
        </is>
      </c>
      <c r="C164" s="6" t="inlineStr">
        <is>
          <t>sha256</t>
        </is>
      </c>
      <c r="D164" s="6" t="inlineStr">
        <is>
          <t>text</t>
        </is>
      </c>
      <c r="E164" s="6" t="inlineStr"/>
      <c r="F164" s="6" t="inlineStr">
        <is>
          <t>Y</t>
        </is>
      </c>
      <c r="G164" s="6" t="inlineStr"/>
      <c r="H164" s="6" t="inlineStr"/>
      <c r="I164" s="6" t="inlineStr">
        <is>
          <t>Fingerprint of the file.</t>
        </is>
      </c>
      <c r="J164" s="6" t="inlineStr">
        <is>
          <t>a31f…</t>
        </is>
      </c>
      <c r="K164" s="18" t="n"/>
    </row>
    <row r="165">
      <c r="A165" s="10" t="inlineStr">
        <is>
          <t>Collection</t>
        </is>
      </c>
      <c r="B165" s="10" t="inlineStr">
        <is>
          <t>evidence_files</t>
        </is>
      </c>
      <c r="C165" s="6" t="inlineStr">
        <is>
          <t>scan_status</t>
        </is>
      </c>
      <c r="D165" s="6" t="inlineStr">
        <is>
          <t>text</t>
        </is>
      </c>
      <c r="E165" s="6" t="inlineStr"/>
      <c r="F165" s="6" t="inlineStr">
        <is>
          <t>Y</t>
        </is>
      </c>
      <c r="G165" s="6" t="inlineStr"/>
      <c r="H165" s="6" t="inlineStr">
        <is>
          <t>pending | clean | rejected</t>
        </is>
      </c>
      <c r="I165" s="6" t="inlineStr">
        <is>
          <t>Virus/content scan result; only clean files download.</t>
        </is>
      </c>
      <c r="J165" s="6" t="inlineStr">
        <is>
          <t>clean</t>
        </is>
      </c>
      <c r="K165" s="18" t="n"/>
    </row>
    <row r="166">
      <c r="A166" s="10" t="inlineStr">
        <is>
          <t>Collection</t>
        </is>
      </c>
      <c r="B166" s="10" t="inlineStr">
        <is>
          <t>evidence_files</t>
        </is>
      </c>
      <c r="C166" s="6" t="inlineStr">
        <is>
          <t>classification</t>
        </is>
      </c>
      <c r="D166" s="6" t="inlineStr">
        <is>
          <t>text</t>
        </is>
      </c>
      <c r="E166" s="6" t="inlineStr"/>
      <c r="F166" s="6" t="inlineStr">
        <is>
          <t>Y</t>
        </is>
      </c>
      <c r="G166" s="6" t="inlineStr"/>
      <c r="H166" s="6" t="inlineStr">
        <is>
          <t>internal | restricted</t>
        </is>
      </c>
      <c r="I166" s="6" t="inlineStr">
        <is>
          <t>Sensitivity.</t>
        </is>
      </c>
      <c r="J166" s="6" t="inlineStr">
        <is>
          <t>internal</t>
        </is>
      </c>
      <c r="K166" s="18" t="n"/>
    </row>
    <row r="167">
      <c r="A167" s="10" t="inlineStr">
        <is>
          <t>Collection</t>
        </is>
      </c>
      <c r="B167" s="10" t="inlineStr">
        <is>
          <t>evidence_files</t>
        </is>
      </c>
      <c r="C167" s="6" t="inlineStr">
        <is>
          <t>source</t>
        </is>
      </c>
      <c r="D167" s="6" t="inlineStr">
        <is>
          <t>text</t>
        </is>
      </c>
      <c r="E167" s="6" t="inlineStr"/>
      <c r="F167" s="6" t="inlineStr">
        <is>
          <t>Y</t>
        </is>
      </c>
      <c r="G167" s="6" t="inlineStr"/>
      <c r="H167" s="6" t="inlineStr">
        <is>
          <t>upload | kobo_import</t>
        </is>
      </c>
      <c r="I167" s="6" t="inlineStr">
        <is>
          <t>How it arrived.</t>
        </is>
      </c>
      <c r="J167" s="6" t="inlineStr">
        <is>
          <t>kobo_import</t>
        </is>
      </c>
      <c r="K167" s="18" t="n"/>
    </row>
    <row r="168">
      <c r="A168" s="10" t="inlineStr">
        <is>
          <t>Collection</t>
        </is>
      </c>
      <c r="B168" s="10" t="inlineStr">
        <is>
          <t>evidence_files</t>
        </is>
      </c>
      <c r="C168" s="6" t="inlineStr">
        <is>
          <t>uploaded_by</t>
        </is>
      </c>
      <c r="D168" s="6" t="inlineStr">
        <is>
          <t>uuid</t>
        </is>
      </c>
      <c r="E168" s="6" t="inlineStr">
        <is>
          <t>FK</t>
        </is>
      </c>
      <c r="F168" s="6" t="inlineStr">
        <is>
          <t>N</t>
        </is>
      </c>
      <c r="G168" s="6" t="inlineStr">
        <is>
          <t>users.id</t>
        </is>
      </c>
      <c r="H168" s="6" t="inlineStr"/>
      <c r="I168" s="6" t="inlineStr">
        <is>
          <t>Who uploaded.</t>
        </is>
      </c>
      <c r="J168" s="6" t="inlineStr">
        <is>
          <t>MAFF focal point</t>
        </is>
      </c>
      <c r="K168" s="18" t="n"/>
    </row>
    <row r="169">
      <c r="A169" s="11" t="inlineStr">
        <is>
          <t>Review</t>
        </is>
      </c>
      <c r="B169" s="11" t="inlineStr">
        <is>
          <t>review_events</t>
        </is>
      </c>
      <c r="C169" s="6" t="inlineStr">
        <is>
          <t>revision_id</t>
        </is>
      </c>
      <c r="D169" s="6" t="inlineStr">
        <is>
          <t>uuid</t>
        </is>
      </c>
      <c r="E169" s="6" t="inlineStr">
        <is>
          <t>FK</t>
        </is>
      </c>
      <c r="F169" s="6" t="inlineStr">
        <is>
          <t>Y</t>
        </is>
      </c>
      <c r="G169" s="6" t="inlineStr">
        <is>
          <t>submission_revisions.id</t>
        </is>
      </c>
      <c r="H169" s="6" t="inlineStr"/>
      <c r="I169" s="6" t="inlineStr">
        <is>
          <t>Revision reviewed.</t>
        </is>
      </c>
      <c r="J169" s="6" t="inlineStr">
        <is>
          <t>RY2026-NBC r1</t>
        </is>
      </c>
      <c r="K169" s="18" t="n"/>
    </row>
    <row r="170">
      <c r="A170" s="11" t="inlineStr">
        <is>
          <t>Review</t>
        </is>
      </c>
      <c r="B170" s="11" t="inlineStr">
        <is>
          <t>review_events</t>
        </is>
      </c>
      <c r="C170" s="6" t="inlineStr">
        <is>
          <t>action</t>
        </is>
      </c>
      <c r="D170" s="6" t="inlineStr">
        <is>
          <t>text</t>
        </is>
      </c>
      <c r="E170" s="6" t="inlineStr"/>
      <c r="F170" s="6" t="inlineStr">
        <is>
          <t>Y</t>
        </is>
      </c>
      <c r="G170" s="6" t="inlineStr"/>
      <c r="H170" s="6" t="inlineStr">
        <is>
          <t>See Allowed values: review action</t>
        </is>
      </c>
      <c r="I170" s="6" t="inlineStr">
        <is>
          <t>What happened.</t>
        </is>
      </c>
      <c r="J170" s="6" t="inlineStr">
        <is>
          <t>returned</t>
        </is>
      </c>
      <c r="K170" s="18" t="n"/>
    </row>
    <row r="171">
      <c r="A171" s="11" t="inlineStr">
        <is>
          <t>Review</t>
        </is>
      </c>
      <c r="B171" s="11" t="inlineStr">
        <is>
          <t>review_events</t>
        </is>
      </c>
      <c r="C171" s="6" t="inlineStr">
        <is>
          <t>actor_id</t>
        </is>
      </c>
      <c r="D171" s="6" t="inlineStr">
        <is>
          <t>uuid</t>
        </is>
      </c>
      <c r="E171" s="6" t="inlineStr">
        <is>
          <t>FK</t>
        </is>
      </c>
      <c r="F171" s="6" t="inlineStr">
        <is>
          <t>Y</t>
        </is>
      </c>
      <c r="G171" s="6" t="inlineStr">
        <is>
          <t>users.id</t>
        </is>
      </c>
      <c r="H171" s="6" t="inlineStr">
        <is>
          <t>Must not be the revision's entered_by when approving</t>
        </is>
      </c>
      <c r="I171" s="6" t="inlineStr">
        <is>
          <t>Reviewer.</t>
        </is>
      </c>
      <c r="J171" s="6" t="inlineStr">
        <is>
          <t>Secretariat officer</t>
        </is>
      </c>
      <c r="K171" s="18" t="n"/>
    </row>
    <row r="172">
      <c r="A172" s="11" t="inlineStr">
        <is>
          <t>Review</t>
        </is>
      </c>
      <c r="B172" s="11" t="inlineStr">
        <is>
          <t>review_events</t>
        </is>
      </c>
      <c r="C172" s="6" t="inlineStr">
        <is>
          <t>reason</t>
        </is>
      </c>
      <c r="D172" s="6" t="inlineStr">
        <is>
          <t>text</t>
        </is>
      </c>
      <c r="E172" s="6" t="inlineStr"/>
      <c r="F172" s="6" t="inlineStr">
        <is>
          <t>N</t>
        </is>
      </c>
      <c r="G172" s="6" t="inlineStr"/>
      <c r="H172" s="6" t="inlineStr">
        <is>
          <t>Required for returned and rejected (≥ 10 characters)</t>
        </is>
      </c>
      <c r="I172" s="6" t="inlineStr">
        <is>
          <t>Query or reason.</t>
        </is>
      </c>
      <c r="J172" s="6" t="inlineStr">
        <is>
          <t>Value 450 looks like a count, not a percentage</t>
        </is>
      </c>
      <c r="K172" s="18" t="n"/>
    </row>
    <row r="173">
      <c r="A173" s="11" t="inlineStr">
        <is>
          <t>Review</t>
        </is>
      </c>
      <c r="B173" s="11" t="inlineStr">
        <is>
          <t>review_events</t>
        </is>
      </c>
      <c r="C173" s="6" t="inlineStr">
        <is>
          <t>checks_completed</t>
        </is>
      </c>
      <c r="D173" s="6" t="inlineStr">
        <is>
          <t>jsonb</t>
        </is>
      </c>
      <c r="E173" s="6" t="inlineStr"/>
      <c r="F173" s="6" t="inlineStr">
        <is>
          <t>N</t>
        </is>
      </c>
      <c r="G173" s="6" t="inlineStr"/>
      <c r="H173" s="6" t="inlineStr">
        <is>
          <t>Required for approved: all four checks</t>
        </is>
      </c>
      <c r="I173" s="6" t="inlineStr">
        <is>
          <t>Verification checks ticked.</t>
        </is>
      </c>
      <c r="J173" s="6" t="inlineStr">
        <is>
          <t>[reasonable, consistent, evidence, assignment]</t>
        </is>
      </c>
      <c r="K173" s="18" t="n"/>
    </row>
    <row r="174">
      <c r="A174" s="11" t="inlineStr">
        <is>
          <t>Review</t>
        </is>
      </c>
      <c r="B174" s="11" t="inlineStr">
        <is>
          <t>review_events</t>
        </is>
      </c>
      <c r="C174" s="6" t="inlineStr">
        <is>
          <t>affected_indicators</t>
        </is>
      </c>
      <c r="D174" s="6" t="inlineStr">
        <is>
          <t>jsonb</t>
        </is>
      </c>
      <c r="E174" s="6" t="inlineStr"/>
      <c r="F174" s="6" t="inlineStr">
        <is>
          <t>N</t>
        </is>
      </c>
      <c r="G174" s="6" t="inlineStr"/>
      <c r="H174" s="6" t="inlineStr"/>
      <c r="I174" s="6" t="inlineStr">
        <is>
          <t>Indicators the query is about.</t>
        </is>
      </c>
      <c r="J174" s="6" t="inlineStr">
        <is>
          <t>[AI-023]</t>
        </is>
      </c>
      <c r="K174" s="18" t="n"/>
    </row>
    <row r="175">
      <c r="A175" s="11" t="inlineStr">
        <is>
          <t>Review</t>
        </is>
      </c>
      <c r="B175" s="11" t="inlineStr">
        <is>
          <t>quality_flags</t>
        </is>
      </c>
      <c r="C175" s="6" t="inlineStr">
        <is>
          <t>revision_id</t>
        </is>
      </c>
      <c r="D175" s="6" t="inlineStr">
        <is>
          <t>uuid</t>
        </is>
      </c>
      <c r="E175" s="6" t="inlineStr">
        <is>
          <t>FK</t>
        </is>
      </c>
      <c r="F175" s="6" t="inlineStr">
        <is>
          <t>Y</t>
        </is>
      </c>
      <c r="G175" s="6" t="inlineStr">
        <is>
          <t>submission_revisions.id</t>
        </is>
      </c>
      <c r="H175" s="6" t="inlineStr"/>
      <c r="I175" s="6" t="inlineStr">
        <is>
          <t>Revision flagged.</t>
        </is>
      </c>
      <c r="J175" s="6" t="inlineStr">
        <is>
          <t>RY2026-MRD r1</t>
        </is>
      </c>
      <c r="K175" s="18" t="n"/>
    </row>
    <row r="176">
      <c r="A176" s="11" t="inlineStr">
        <is>
          <t>Review</t>
        </is>
      </c>
      <c r="B176" s="11" t="inlineStr">
        <is>
          <t>quality_flags</t>
        </is>
      </c>
      <c r="C176" s="6" t="inlineStr">
        <is>
          <t>answer_id</t>
        </is>
      </c>
      <c r="D176" s="6" t="inlineStr">
        <is>
          <t>uuid</t>
        </is>
      </c>
      <c r="E176" s="6" t="inlineStr">
        <is>
          <t>FK</t>
        </is>
      </c>
      <c r="F176" s="6" t="inlineStr">
        <is>
          <t>N</t>
        </is>
      </c>
      <c r="G176" s="6" t="inlineStr">
        <is>
          <t>answers.id</t>
        </is>
      </c>
      <c r="H176" s="6" t="inlineStr"/>
      <c r="I176" s="6" t="inlineStr">
        <is>
          <t>Specific answer, if any.</t>
        </is>
      </c>
      <c r="J176" s="6" t="inlineStr">
        <is>
          <t>AI-030 answer</t>
        </is>
      </c>
      <c r="K176" s="18" t="n"/>
    </row>
    <row r="177">
      <c r="A177" s="11" t="inlineStr">
        <is>
          <t>Review</t>
        </is>
      </c>
      <c r="B177" s="11" t="inlineStr">
        <is>
          <t>quality_flags</t>
        </is>
      </c>
      <c r="C177" s="6" t="inlineStr">
        <is>
          <t>rule_code</t>
        </is>
      </c>
      <c r="D177" s="6" t="inlineStr">
        <is>
          <t>text</t>
        </is>
      </c>
      <c r="E177" s="6" t="inlineStr"/>
      <c r="F177" s="6" t="inlineStr">
        <is>
          <t>Y</t>
        </is>
      </c>
      <c r="G177" s="6" t="inlineStr"/>
      <c r="H177" s="6" t="inlineStr">
        <is>
          <t>See Allowed values: flag rule</t>
        </is>
      </c>
      <c r="I177" s="6" t="inlineStr">
        <is>
          <t>Rule triggered.</t>
        </is>
      </c>
      <c r="J177" s="6" t="inlineStr">
        <is>
          <t>missing_evidence</t>
        </is>
      </c>
      <c r="K177" s="18" t="n"/>
    </row>
    <row r="178">
      <c r="A178" s="11" t="inlineStr">
        <is>
          <t>Review</t>
        </is>
      </c>
      <c r="B178" s="11" t="inlineStr">
        <is>
          <t>quality_flags</t>
        </is>
      </c>
      <c r="C178" s="6" t="inlineStr">
        <is>
          <t>level</t>
        </is>
      </c>
      <c r="D178" s="6" t="inlineStr">
        <is>
          <t>text</t>
        </is>
      </c>
      <c r="E178" s="6" t="inlineStr"/>
      <c r="F178" s="6" t="inlineStr">
        <is>
          <t>Y</t>
        </is>
      </c>
      <c r="G178" s="6" t="inlineStr"/>
      <c r="H178" s="6" t="inlineStr">
        <is>
          <t>warning | blocking</t>
        </is>
      </c>
      <c r="I178" s="6" t="inlineStr">
        <is>
          <t>Blocking flags prevent approval.</t>
        </is>
      </c>
      <c r="J178" s="6" t="inlineStr">
        <is>
          <t>warning</t>
        </is>
      </c>
      <c r="K178" s="18" t="n"/>
    </row>
    <row r="179">
      <c r="A179" s="11" t="inlineStr">
        <is>
          <t>Review</t>
        </is>
      </c>
      <c r="B179" s="11" t="inlineStr">
        <is>
          <t>quality_flags</t>
        </is>
      </c>
      <c r="C179" s="6" t="inlineStr">
        <is>
          <t>message</t>
        </is>
      </c>
      <c r="D179" s="6" t="inlineStr">
        <is>
          <t>text</t>
        </is>
      </c>
      <c r="E179" s="6" t="inlineStr"/>
      <c r="F179" s="6" t="inlineStr">
        <is>
          <t>Y</t>
        </is>
      </c>
      <c r="G179" s="6" t="inlineStr"/>
      <c r="H179" s="6" t="inlineStr"/>
      <c r="I179" s="6" t="inlineStr">
        <is>
          <t>Explanation shown to the reviewer.</t>
        </is>
      </c>
      <c r="J179" s="6" t="inlineStr">
        <is>
          <t>AI-030: no evidence file</t>
        </is>
      </c>
      <c r="K179" s="18" t="n"/>
    </row>
    <row r="180">
      <c r="A180" s="11" t="inlineStr">
        <is>
          <t>Review</t>
        </is>
      </c>
      <c r="B180" s="11" t="inlineStr">
        <is>
          <t>quality_flags</t>
        </is>
      </c>
      <c r="C180" s="6" t="inlineStr">
        <is>
          <t>status</t>
        </is>
      </c>
      <c r="D180" s="6" t="inlineStr">
        <is>
          <t>text</t>
        </is>
      </c>
      <c r="E180" s="6" t="inlineStr"/>
      <c r="F180" s="6" t="inlineStr">
        <is>
          <t>Y</t>
        </is>
      </c>
      <c r="G180" s="6" t="inlineStr"/>
      <c r="H180" s="6" t="inlineStr">
        <is>
          <t>open | resolved | accepted</t>
        </is>
      </c>
      <c r="I180" s="6" t="inlineStr"/>
      <c r="J180" s="6" t="inlineStr">
        <is>
          <t>open</t>
        </is>
      </c>
      <c r="K180" s="18" t="n"/>
    </row>
    <row r="181">
      <c r="A181" s="11" t="inlineStr">
        <is>
          <t>Review</t>
        </is>
      </c>
      <c r="B181" s="11" t="inlineStr">
        <is>
          <t>quality_flags</t>
        </is>
      </c>
      <c r="C181" s="6" t="inlineStr">
        <is>
          <t>resolved_by</t>
        </is>
      </c>
      <c r="D181" s="6" t="inlineStr">
        <is>
          <t>uuid</t>
        </is>
      </c>
      <c r="E181" s="6" t="inlineStr">
        <is>
          <t>FK</t>
        </is>
      </c>
      <c r="F181" s="6" t="inlineStr">
        <is>
          <t>N</t>
        </is>
      </c>
      <c r="G181" s="6" t="inlineStr">
        <is>
          <t>users.id</t>
        </is>
      </c>
      <c r="H181" s="6" t="inlineStr"/>
      <c r="I181" s="6" t="inlineStr">
        <is>
          <t>Who resolved it.</t>
        </is>
      </c>
      <c r="J181" s="6" t="inlineStr"/>
      <c r="K181" s="18" t="n"/>
    </row>
    <row r="182">
      <c r="A182" s="11" t="inlineStr">
        <is>
          <t>Review</t>
        </is>
      </c>
      <c r="B182" s="11" t="inlineStr">
        <is>
          <t>quality_flags</t>
        </is>
      </c>
      <c r="C182" s="6" t="inlineStr">
        <is>
          <t>resolution_note</t>
        </is>
      </c>
      <c r="D182" s="6" t="inlineStr">
        <is>
          <t>text</t>
        </is>
      </c>
      <c r="E182" s="6" t="inlineStr"/>
      <c r="F182" s="6" t="inlineStr">
        <is>
          <t>N</t>
        </is>
      </c>
      <c r="G182" s="6" t="inlineStr"/>
      <c r="H182" s="6" t="inlineStr">
        <is>
          <t>Required when resolved or accepted</t>
        </is>
      </c>
      <c r="I182" s="6" t="inlineStr">
        <is>
          <t>How it was resolved.</t>
        </is>
      </c>
      <c r="J182" s="6" t="inlineStr"/>
      <c r="K182" s="18" t="n"/>
    </row>
    <row r="183">
      <c r="A183" s="12" t="inlineStr">
        <is>
          <t>Results</t>
        </is>
      </c>
      <c r="B183" s="12" t="inlineStr">
        <is>
          <t>results</t>
        </is>
      </c>
      <c r="C183" s="6" t="inlineStr">
        <is>
          <t>indicator_id</t>
        </is>
      </c>
      <c r="D183" s="6" t="inlineStr">
        <is>
          <t>uuid</t>
        </is>
      </c>
      <c r="E183" s="6" t="inlineStr">
        <is>
          <t>FK</t>
        </is>
      </c>
      <c r="F183" s="6" t="inlineStr">
        <is>
          <t>Y</t>
        </is>
      </c>
      <c r="G183" s="6" t="inlineStr">
        <is>
          <t>indicators.id</t>
        </is>
      </c>
      <c r="H183" s="6" t="inlineStr"/>
      <c r="I183" s="6" t="inlineStr">
        <is>
          <t>Indicator.</t>
        </is>
      </c>
      <c r="J183" s="6" t="inlineStr">
        <is>
          <t>AI-002</t>
        </is>
      </c>
      <c r="K183" s="18" t="n"/>
    </row>
    <row r="184">
      <c r="A184" s="12" t="inlineStr">
        <is>
          <t>Results</t>
        </is>
      </c>
      <c r="B184" s="12" t="inlineStr">
        <is>
          <t>results</t>
        </is>
      </c>
      <c r="C184" s="6" t="inlineStr">
        <is>
          <t>reporting_year_id</t>
        </is>
      </c>
      <c r="D184" s="6" t="inlineStr">
        <is>
          <t>uuid</t>
        </is>
      </c>
      <c r="E184" s="6" t="inlineStr">
        <is>
          <t>FK</t>
        </is>
      </c>
      <c r="F184" s="6" t="inlineStr">
        <is>
          <t>Y</t>
        </is>
      </c>
      <c r="G184" s="6" t="inlineStr">
        <is>
          <t>reporting_years.id</t>
        </is>
      </c>
      <c r="H184" s="6" t="inlineStr"/>
      <c r="I184" s="6" t="inlineStr">
        <is>
          <t>Year.</t>
        </is>
      </c>
      <c r="J184" s="6" t="inlineStr">
        <is>
          <t>2025</t>
        </is>
      </c>
      <c r="K184" s="18" t="n"/>
    </row>
    <row r="185">
      <c r="A185" s="12" t="inlineStr">
        <is>
          <t>Results</t>
        </is>
      </c>
      <c r="B185" s="12" t="inlineStr">
        <is>
          <t>results</t>
        </is>
      </c>
      <c r="C185" s="6" t="inlineStr">
        <is>
          <t>revision_no</t>
        </is>
      </c>
      <c r="D185" s="6" t="inlineStr">
        <is>
          <t>integer</t>
        </is>
      </c>
      <c r="E185" s="6" t="inlineStr"/>
      <c r="F185" s="6" t="inlineStr">
        <is>
          <t>Y</t>
        </is>
      </c>
      <c r="G185" s="6" t="inlineStr"/>
      <c r="H185" s="6" t="inlineStr"/>
      <c r="I185" s="6" t="inlineStr">
        <is>
          <t>Revision of this result.</t>
        </is>
      </c>
      <c r="J185" s="6" t="inlineStr">
        <is>
          <t>1</t>
        </is>
      </c>
      <c r="K185" s="18" t="n"/>
    </row>
    <row r="186">
      <c r="A186" s="12" t="inlineStr">
        <is>
          <t>Results</t>
        </is>
      </c>
      <c r="B186" s="12" t="inlineStr">
        <is>
          <t>results</t>
        </is>
      </c>
      <c r="C186" s="6" t="inlineStr">
        <is>
          <t>indicator_version_id</t>
        </is>
      </c>
      <c r="D186" s="6" t="inlineStr">
        <is>
          <t>uuid</t>
        </is>
      </c>
      <c r="E186" s="6" t="inlineStr">
        <is>
          <t>FK</t>
        </is>
      </c>
      <c r="F186" s="6" t="inlineStr">
        <is>
          <t>Y</t>
        </is>
      </c>
      <c r="G186" s="6" t="inlineStr">
        <is>
          <t>indicator_versions.id</t>
        </is>
      </c>
      <c r="H186" s="6" t="inlineStr"/>
      <c r="I186" s="6" t="inlineStr">
        <is>
          <t>Definition used.</t>
        </is>
      </c>
      <c r="J186" s="6" t="inlineStr">
        <is>
          <t>AI-002 v1</t>
        </is>
      </c>
      <c r="K186" s="18" t="n"/>
    </row>
    <row r="187">
      <c r="A187" s="12" t="inlineStr">
        <is>
          <t>Results</t>
        </is>
      </c>
      <c r="B187" s="12" t="inlineStr">
        <is>
          <t>results</t>
        </is>
      </c>
      <c r="C187" s="6" t="inlineStr">
        <is>
          <t>target_id</t>
        </is>
      </c>
      <c r="D187" s="6" t="inlineStr">
        <is>
          <t>uuid</t>
        </is>
      </c>
      <c r="E187" s="6" t="inlineStr">
        <is>
          <t>FK</t>
        </is>
      </c>
      <c r="F187" s="6" t="inlineStr">
        <is>
          <t>N</t>
        </is>
      </c>
      <c r="G187" s="6" t="inlineStr">
        <is>
          <t>targets.id</t>
        </is>
      </c>
      <c r="H187" s="6" t="inlineStr"/>
      <c r="I187" s="6" t="inlineStr">
        <is>
          <t>Target revision used.</t>
        </is>
      </c>
      <c r="J187" s="6" t="inlineStr">
        <is>
          <t>AI-002 2027 r1</t>
        </is>
      </c>
      <c r="K187" s="18" t="n"/>
    </row>
    <row r="188">
      <c r="A188" s="12" t="inlineStr">
        <is>
          <t>Results</t>
        </is>
      </c>
      <c r="B188" s="12" t="inlineStr">
        <is>
          <t>results</t>
        </is>
      </c>
      <c r="C188" s="6" t="inlineStr">
        <is>
          <t>value</t>
        </is>
      </c>
      <c r="D188" s="6" t="inlineStr">
        <is>
          <t>numeric</t>
        </is>
      </c>
      <c r="E188" s="6" t="inlineStr"/>
      <c r="F188" s="6" t="inlineStr">
        <is>
          <t>N</t>
        </is>
      </c>
      <c r="G188" s="6" t="inlineStr"/>
      <c r="H188" s="6" t="inlineStr">
        <is>
          <t>Empty = no data (never shown as zero)</t>
        </is>
      </c>
      <c r="I188" s="6" t="inlineStr">
        <is>
          <t>Official value.</t>
        </is>
      </c>
      <c r="J188" s="6" t="inlineStr">
        <is>
          <t>4</t>
        </is>
      </c>
      <c r="K188" s="18" t="n"/>
    </row>
    <row r="189">
      <c r="A189" s="12" t="inlineStr">
        <is>
          <t>Results</t>
        </is>
      </c>
      <c r="B189" s="12" t="inlineStr">
        <is>
          <t>results</t>
        </is>
      </c>
      <c r="C189" s="6" t="inlineStr">
        <is>
          <t>value_choice</t>
        </is>
      </c>
      <c r="D189" s="6" t="inlineStr">
        <is>
          <t>text</t>
        </is>
      </c>
      <c r="E189" s="6" t="inlineStr"/>
      <c r="F189" s="6" t="inlineStr">
        <is>
          <t>N</t>
        </is>
      </c>
      <c r="G189" s="6" t="inlineStr"/>
      <c r="H189" s="6" t="inlineStr"/>
      <c r="I189" s="6" t="inlineStr">
        <is>
          <t>Milestone value.</t>
        </is>
      </c>
      <c r="J189" s="6" t="inlineStr"/>
      <c r="K189" s="18" t="n"/>
    </row>
    <row r="190">
      <c r="A190" s="12" t="inlineStr">
        <is>
          <t>Results</t>
        </is>
      </c>
      <c r="B190" s="12" t="inlineStr">
        <is>
          <t>results</t>
        </is>
      </c>
      <c r="C190" s="6" t="inlineStr">
        <is>
          <t>pct_of_target</t>
        </is>
      </c>
      <c r="D190" s="6" t="inlineStr">
        <is>
          <t>numeric</t>
        </is>
      </c>
      <c r="E190" s="6" t="inlineStr"/>
      <c r="F190" s="6" t="inlineStr">
        <is>
          <t>N</t>
        </is>
      </c>
      <c r="G190" s="6" t="inlineStr"/>
      <c r="H190" s="6" t="inlineStr"/>
      <c r="I190" s="6" t="inlineStr">
        <is>
          <t>Actual % (not capped).</t>
        </is>
      </c>
      <c r="J190" s="6" t="inlineStr">
        <is>
          <t>57</t>
        </is>
      </c>
      <c r="K190" s="18" t="n"/>
    </row>
    <row r="191">
      <c r="A191" s="12" t="inlineStr">
        <is>
          <t>Results</t>
        </is>
      </c>
      <c r="B191" s="12" t="inlineStr">
        <is>
          <t>results</t>
        </is>
      </c>
      <c r="C191" s="6" t="inlineStr">
        <is>
          <t>status</t>
        </is>
      </c>
      <c r="D191" s="6" t="inlineStr">
        <is>
          <t>text</t>
        </is>
      </c>
      <c r="E191" s="6" t="inlineStr"/>
      <c r="F191" s="6" t="inlineStr">
        <is>
          <t>N</t>
        </is>
      </c>
      <c r="G191" s="6" t="inlineStr"/>
      <c r="H191" s="6" t="inlineStr">
        <is>
          <t>fully_achieved | largely_achieved | limited_progress</t>
        </is>
      </c>
      <c r="I191" s="6" t="inlineStr">
        <is>
          <t>Status with that year's thresholds (capped at 100 for status).</t>
        </is>
      </c>
      <c r="J191" s="6" t="inlineStr">
        <is>
          <t>largely_achieved</t>
        </is>
      </c>
      <c r="K191" s="18" t="n"/>
    </row>
    <row r="192">
      <c r="A192" s="12" t="inlineStr">
        <is>
          <t>Results</t>
        </is>
      </c>
      <c r="B192" s="12" t="inlineStr">
        <is>
          <t>results</t>
        </is>
      </c>
      <c r="C192" s="6" t="inlineStr">
        <is>
          <t>source_type</t>
        </is>
      </c>
      <c r="D192" s="6" t="inlineStr">
        <is>
          <t>text</t>
        </is>
      </c>
      <c r="E192" s="6" t="inlineStr"/>
      <c r="F192" s="6" t="inlineStr">
        <is>
          <t>Y</t>
        </is>
      </c>
      <c r="G192" s="6" t="inlineStr"/>
      <c r="H192" s="6" t="inlineStr">
        <is>
          <t>answer | administrative | survey | computed</t>
        </is>
      </c>
      <c r="I192" s="6" t="inlineStr">
        <is>
          <t>Where the value comes from.</t>
        </is>
      </c>
      <c r="J192" s="6" t="inlineStr">
        <is>
          <t>answer</t>
        </is>
      </c>
      <c r="K192" s="18" t="n"/>
    </row>
    <row r="193">
      <c r="A193" s="12" t="inlineStr">
        <is>
          <t>Results</t>
        </is>
      </c>
      <c r="B193" s="12" t="inlineStr">
        <is>
          <t>results</t>
        </is>
      </c>
      <c r="C193" s="6" t="inlineStr">
        <is>
          <t>source_answer_id</t>
        </is>
      </c>
      <c r="D193" s="6" t="inlineStr">
        <is>
          <t>uuid</t>
        </is>
      </c>
      <c r="E193" s="6" t="inlineStr">
        <is>
          <t>FK</t>
        </is>
      </c>
      <c r="F193" s="6" t="inlineStr">
        <is>
          <t>N</t>
        </is>
      </c>
      <c r="G193" s="6" t="inlineStr">
        <is>
          <t>answers.id</t>
        </is>
      </c>
      <c r="H193" s="6" t="inlineStr">
        <is>
          <t>Required when source_type = answer</t>
        </is>
      </c>
      <c r="I193" s="6" t="inlineStr">
        <is>
          <t>Approved answer used.</t>
        </is>
      </c>
      <c r="J193" s="6" t="inlineStr">
        <is>
          <t>RY2025-MAFF r1 · AI-002</t>
        </is>
      </c>
      <c r="K193" s="18" t="n"/>
    </row>
    <row r="194">
      <c r="A194" s="12" t="inlineStr">
        <is>
          <t>Results</t>
        </is>
      </c>
      <c r="B194" s="12" t="inlineStr">
        <is>
          <t>results</t>
        </is>
      </c>
      <c r="C194" s="6" t="inlineStr">
        <is>
          <t>source_note</t>
        </is>
      </c>
      <c r="D194" s="6" t="inlineStr">
        <is>
          <t>text</t>
        </is>
      </c>
      <c r="E194" s="6" t="inlineStr"/>
      <c r="F194" s="6" t="inlineStr">
        <is>
          <t>N</t>
        </is>
      </c>
      <c r="G194" s="6" t="inlineStr"/>
      <c r="H194" s="6" t="inlineStr">
        <is>
          <t>Required when not from an answer</t>
        </is>
      </c>
      <c r="I194" s="6" t="inlineStr">
        <is>
          <t>Source description.</t>
        </is>
      </c>
      <c r="J194" s="6" t="inlineStr">
        <is>
          <t>MAFF Yearbook 2025 (for P2)</t>
        </is>
      </c>
      <c r="K194" s="18" t="n"/>
    </row>
    <row r="195">
      <c r="A195" s="12" t="inlineStr">
        <is>
          <t>Results</t>
        </is>
      </c>
      <c r="B195" s="12" t="inlineStr">
        <is>
          <t>results</t>
        </is>
      </c>
      <c r="C195" s="6" t="inlineStr">
        <is>
          <t>state</t>
        </is>
      </c>
      <c r="D195" s="6" t="inlineStr">
        <is>
          <t>text</t>
        </is>
      </c>
      <c r="E195" s="6" t="inlineStr"/>
      <c r="F195" s="6" t="inlineStr">
        <is>
          <t>Y</t>
        </is>
      </c>
      <c r="G195" s="6" t="inlineStr"/>
      <c r="H195" s="6" t="inlineStr">
        <is>
          <t>approved | superseded</t>
        </is>
      </c>
      <c r="I195" s="6" t="inlineStr">
        <is>
          <t>Only one approved per indicator and year.</t>
        </is>
      </c>
      <c r="J195" s="6" t="inlineStr">
        <is>
          <t>approved</t>
        </is>
      </c>
      <c r="K195" s="18" t="n"/>
    </row>
    <row r="196">
      <c r="A196" s="12" t="inlineStr">
        <is>
          <t>Results</t>
        </is>
      </c>
      <c r="B196" s="12" t="inlineStr">
        <is>
          <t>results</t>
        </is>
      </c>
      <c r="C196" s="6" t="inlineStr">
        <is>
          <t>is_test_data</t>
        </is>
      </c>
      <c r="D196" s="6" t="inlineStr">
        <is>
          <t>boolean</t>
        </is>
      </c>
      <c r="E196" s="6" t="inlineStr"/>
      <c r="F196" s="6" t="inlineStr">
        <is>
          <t>Y</t>
        </is>
      </c>
      <c r="G196" s="6" t="inlineStr"/>
      <c r="H196" s="6" t="inlineStr">
        <is>
          <t>Default false</t>
        </is>
      </c>
      <c r="I196" s="6" t="inlineStr">
        <is>
          <t>Marks indicative/test values.</t>
        </is>
      </c>
      <c r="J196" s="6" t="inlineStr">
        <is>
          <t>false (true for Q1 2025)</t>
        </is>
      </c>
      <c r="K196" s="18" t="n"/>
    </row>
    <row r="197">
      <c r="A197" s="12" t="inlineStr">
        <is>
          <t>Results</t>
        </is>
      </c>
      <c r="B197" s="12" t="inlineStr">
        <is>
          <t>results</t>
        </is>
      </c>
      <c r="C197" s="6" t="inlineStr">
        <is>
          <t>stale</t>
        </is>
      </c>
      <c r="D197" s="6" t="inlineStr">
        <is>
          <t>boolean</t>
        </is>
      </c>
      <c r="E197" s="6" t="inlineStr"/>
      <c r="F197" s="6" t="inlineStr">
        <is>
          <t>Y</t>
        </is>
      </c>
      <c r="G197" s="6" t="inlineStr"/>
      <c r="H197" s="6" t="inlineStr">
        <is>
          <t>Default false</t>
        </is>
      </c>
      <c r="I197" s="6" t="inlineStr">
        <is>
          <t>Source was corrected after approval; needs re-approval.</t>
        </is>
      </c>
      <c r="J197" s="6" t="inlineStr">
        <is>
          <t>false</t>
        </is>
      </c>
      <c r="K197" s="18" t="n"/>
    </row>
    <row r="198">
      <c r="A198" s="12" t="inlineStr">
        <is>
          <t>Results</t>
        </is>
      </c>
      <c r="B198" s="12" t="inlineStr">
        <is>
          <t>results</t>
        </is>
      </c>
      <c r="C198" s="6" t="inlineStr">
        <is>
          <t>approved_by</t>
        </is>
      </c>
      <c r="D198" s="6" t="inlineStr">
        <is>
          <t>uuid</t>
        </is>
      </c>
      <c r="E198" s="6" t="inlineStr">
        <is>
          <t>FK</t>
        </is>
      </c>
      <c r="F198" s="6" t="inlineStr">
        <is>
          <t>N</t>
        </is>
      </c>
      <c r="G198" s="6" t="inlineStr">
        <is>
          <t>users.id</t>
        </is>
      </c>
      <c r="H198" s="6" t="inlineStr"/>
      <c r="I198" s="6" t="inlineStr">
        <is>
          <t>Who approved.</t>
        </is>
      </c>
      <c r="J198" s="6" t="inlineStr">
        <is>
          <t>Secretariat officer</t>
        </is>
      </c>
      <c r="K198" s="18" t="n"/>
    </row>
    <row r="199">
      <c r="A199" s="12" t="inlineStr">
        <is>
          <t>Results</t>
        </is>
      </c>
      <c r="B199" s="12" t="inlineStr">
        <is>
          <t>results</t>
        </is>
      </c>
      <c r="C199" s="6" t="inlineStr">
        <is>
          <t>approved_at</t>
        </is>
      </c>
      <c r="D199" s="6" t="inlineStr">
        <is>
          <t>timestamptz</t>
        </is>
      </c>
      <c r="E199" s="6" t="inlineStr"/>
      <c r="F199" s="6" t="inlineStr">
        <is>
          <t>N</t>
        </is>
      </c>
      <c r="G199" s="6" t="inlineStr"/>
      <c r="H199" s="6" t="inlineStr"/>
      <c r="I199" s="6" t="inlineStr">
        <is>
          <t>When approved.</t>
        </is>
      </c>
      <c r="J199" s="6" t="inlineStr">
        <is>
          <t>2026-05-11</t>
        </is>
      </c>
      <c r="K199" s="18" t="n"/>
    </row>
    <row r="200">
      <c r="A200" s="13" t="inlineStr">
        <is>
          <t>Reports</t>
        </is>
      </c>
      <c r="B200" s="13" t="inlineStr">
        <is>
          <t>reports</t>
        </is>
      </c>
      <c r="C200" s="6" t="inlineStr">
        <is>
          <t>code</t>
        </is>
      </c>
      <c r="D200" s="6" t="inlineStr">
        <is>
          <t>text</t>
        </is>
      </c>
      <c r="E200" s="6" t="inlineStr">
        <is>
          <t>UK</t>
        </is>
      </c>
      <c r="F200" s="6" t="inlineStr">
        <is>
          <t>Y</t>
        </is>
      </c>
      <c r="G200" s="6" t="inlineStr"/>
      <c r="H200" s="6" t="inlineStr">
        <is>
          <t>Unique in workspace</t>
        </is>
      </c>
      <c r="I200" s="6" t="inlineStr">
        <is>
          <t>Short code.</t>
        </is>
      </c>
      <c r="J200" s="6" t="inlineStr">
        <is>
          <t>AR-2025</t>
        </is>
      </c>
      <c r="K200" s="18" t="n"/>
    </row>
    <row r="201">
      <c r="A201" s="13" t="inlineStr">
        <is>
          <t>Reports</t>
        </is>
      </c>
      <c r="B201" s="13" t="inlineStr">
        <is>
          <t>reports</t>
        </is>
      </c>
      <c r="C201" s="6" t="inlineStr">
        <is>
          <t>title_en</t>
        </is>
      </c>
      <c r="D201" s="6" t="inlineStr">
        <is>
          <t>text</t>
        </is>
      </c>
      <c r="E201" s="6" t="inlineStr"/>
      <c r="F201" s="6" t="inlineStr">
        <is>
          <t>Y</t>
        </is>
      </c>
      <c r="G201" s="6" t="inlineStr"/>
      <c r="H201" s="6" t="inlineStr"/>
      <c r="I201" s="6" t="inlineStr">
        <is>
          <t>Title.</t>
        </is>
      </c>
      <c r="J201" s="6" t="inlineStr">
        <is>
          <t>Annual report, reporting year 2025</t>
        </is>
      </c>
      <c r="K201" s="18" t="n"/>
    </row>
    <row r="202">
      <c r="A202" s="13" t="inlineStr">
        <is>
          <t>Reports</t>
        </is>
      </c>
      <c r="B202" s="13" t="inlineStr">
        <is>
          <t>reports</t>
        </is>
      </c>
      <c r="C202" s="6" t="inlineStr">
        <is>
          <t>type</t>
        </is>
      </c>
      <c r="D202" s="6" t="inlineStr">
        <is>
          <t>text</t>
        </is>
      </c>
      <c r="E202" s="6" t="inlineStr"/>
      <c r="F202" s="6" t="inlineStr">
        <is>
          <t>Y</t>
        </is>
      </c>
      <c r="G202" s="6" t="inlineStr"/>
      <c r="H202" s="6" t="inlineStr">
        <is>
          <t>annual | mtr | outcome | other</t>
        </is>
      </c>
      <c r="I202" s="6" t="inlineStr"/>
      <c r="J202" s="6" t="inlineStr">
        <is>
          <t>annual</t>
        </is>
      </c>
      <c r="K202" s="18" t="n"/>
    </row>
    <row r="203">
      <c r="A203" s="13" t="inlineStr">
        <is>
          <t>Reports</t>
        </is>
      </c>
      <c r="B203" s="13" t="inlineStr">
        <is>
          <t>reports</t>
        </is>
      </c>
      <c r="C203" s="6" t="inlineStr">
        <is>
          <t>reporting_year_id</t>
        </is>
      </c>
      <c r="D203" s="6" t="inlineStr">
        <is>
          <t>uuid</t>
        </is>
      </c>
      <c r="E203" s="6" t="inlineStr">
        <is>
          <t>FK</t>
        </is>
      </c>
      <c r="F203" s="6" t="inlineStr">
        <is>
          <t>N</t>
        </is>
      </c>
      <c r="G203" s="6" t="inlineStr">
        <is>
          <t>reporting_years.id</t>
        </is>
      </c>
      <c r="H203" s="6" t="inlineStr"/>
      <c r="I203" s="6" t="inlineStr">
        <is>
          <t>Year covered.</t>
        </is>
      </c>
      <c r="J203" s="6" t="inlineStr">
        <is>
          <t>2025</t>
        </is>
      </c>
      <c r="K203" s="18" t="n"/>
    </row>
    <row r="204">
      <c r="A204" s="13" t="inlineStr">
        <is>
          <t>Reports</t>
        </is>
      </c>
      <c r="B204" s="13" t="inlineStr">
        <is>
          <t>reports</t>
        </is>
      </c>
      <c r="C204" s="6" t="inlineStr">
        <is>
          <t>scope</t>
        </is>
      </c>
      <c r="D204" s="6" t="inlineStr">
        <is>
          <t>text</t>
        </is>
      </c>
      <c r="E204" s="6" t="inlineStr"/>
      <c r="F204" s="6" t="inlineStr">
        <is>
          <t>Y</t>
        </is>
      </c>
      <c r="G204" s="6" t="inlineStr"/>
      <c r="H204" s="6" t="inlineStr">
        <is>
          <t>policy | programme | action</t>
        </is>
      </c>
      <c r="I204" s="6" t="inlineStr">
        <is>
          <t>What it covers.</t>
        </is>
      </c>
      <c r="J204" s="6" t="inlineStr">
        <is>
          <t>policy</t>
        </is>
      </c>
      <c r="K204" s="18" t="n"/>
    </row>
    <row r="205">
      <c r="A205" s="13" t="inlineStr">
        <is>
          <t>Reports</t>
        </is>
      </c>
      <c r="B205" s="13" t="inlineStr">
        <is>
          <t>report_versions</t>
        </is>
      </c>
      <c r="C205" s="6" t="inlineStr">
        <is>
          <t>report_id</t>
        </is>
      </c>
      <c r="D205" s="6" t="inlineStr">
        <is>
          <t>uuid</t>
        </is>
      </c>
      <c r="E205" s="6" t="inlineStr">
        <is>
          <t>FK</t>
        </is>
      </c>
      <c r="F205" s="6" t="inlineStr">
        <is>
          <t>Y</t>
        </is>
      </c>
      <c r="G205" s="6" t="inlineStr">
        <is>
          <t>reports.id</t>
        </is>
      </c>
      <c r="H205" s="6" t="inlineStr">
        <is>
          <t>Unique with version_no</t>
        </is>
      </c>
      <c r="I205" s="6" t="inlineStr">
        <is>
          <t>Report.</t>
        </is>
      </c>
      <c r="J205" s="6" t="inlineStr">
        <is>
          <t>AR-2025</t>
        </is>
      </c>
      <c r="K205" s="18" t="n"/>
    </row>
    <row r="206">
      <c r="A206" s="13" t="inlineStr">
        <is>
          <t>Reports</t>
        </is>
      </c>
      <c r="B206" s="13" t="inlineStr">
        <is>
          <t>report_versions</t>
        </is>
      </c>
      <c r="C206" s="6" t="inlineStr">
        <is>
          <t>version_no</t>
        </is>
      </c>
      <c r="D206" s="6" t="inlineStr">
        <is>
          <t>integer</t>
        </is>
      </c>
      <c r="E206" s="6" t="inlineStr">
        <is>
          <t>UK</t>
        </is>
      </c>
      <c r="F206" s="6" t="inlineStr">
        <is>
          <t>Y</t>
        </is>
      </c>
      <c r="G206" s="6" t="inlineStr"/>
      <c r="H206" s="6" t="inlineStr"/>
      <c r="I206" s="6" t="inlineStr">
        <is>
          <t>Version number.</t>
        </is>
      </c>
      <c r="J206" s="6" t="inlineStr">
        <is>
          <t>1</t>
        </is>
      </c>
      <c r="K206" s="18" t="n"/>
    </row>
    <row r="207">
      <c r="A207" s="13" t="inlineStr">
        <is>
          <t>Reports</t>
        </is>
      </c>
      <c r="B207" s="13" t="inlineStr">
        <is>
          <t>report_versions</t>
        </is>
      </c>
      <c r="C207" s="6" t="inlineStr">
        <is>
          <t>state</t>
        </is>
      </c>
      <c r="D207" s="6" t="inlineStr">
        <is>
          <t>text</t>
        </is>
      </c>
      <c r="E207" s="6" t="inlineStr"/>
      <c r="F207" s="6" t="inlineStr">
        <is>
          <t>Y</t>
        </is>
      </c>
      <c r="G207" s="6" t="inlineStr"/>
      <c r="H207" s="6" t="inlineStr">
        <is>
          <t>draft | published | superseded</t>
        </is>
      </c>
      <c r="I207" s="6" t="inlineStr"/>
      <c r="J207" s="6" t="inlineStr">
        <is>
          <t>published</t>
        </is>
      </c>
      <c r="K207" s="18" t="n"/>
    </row>
    <row r="208">
      <c r="A208" s="13" t="inlineStr">
        <is>
          <t>Reports</t>
        </is>
      </c>
      <c r="B208" s="13" t="inlineStr">
        <is>
          <t>report_versions</t>
        </is>
      </c>
      <c r="C208" s="6" t="inlineStr">
        <is>
          <t>as_of</t>
        </is>
      </c>
      <c r="D208" s="6" t="inlineStr">
        <is>
          <t>timestamptz</t>
        </is>
      </c>
      <c r="E208" s="6" t="inlineStr"/>
      <c r="F208" s="6" t="inlineStr">
        <is>
          <t>Y</t>
        </is>
      </c>
      <c r="G208" s="6" t="inlineStr"/>
      <c r="H208" s="6" t="inlineStr"/>
      <c r="I208" s="6" t="inlineStr">
        <is>
          <t>Data cut-off time.</t>
        </is>
      </c>
      <c r="J208" s="6" t="inlineStr">
        <is>
          <t>2026-05-24 17:00</t>
        </is>
      </c>
      <c r="K208" s="18" t="n"/>
    </row>
    <row r="209">
      <c r="A209" s="13" t="inlineStr">
        <is>
          <t>Reports</t>
        </is>
      </c>
      <c r="B209" s="13" t="inlineStr">
        <is>
          <t>report_versions</t>
        </is>
      </c>
      <c r="C209" s="6" t="inlineStr">
        <is>
          <t>snapshot_json</t>
        </is>
      </c>
      <c r="D209" s="6" t="inlineStr">
        <is>
          <t>jsonb</t>
        </is>
      </c>
      <c r="E209" s="6" t="inlineStr"/>
      <c r="F209" s="6" t="inlineStr">
        <is>
          <t>Y</t>
        </is>
      </c>
      <c r="G209" s="6" t="inlineStr"/>
      <c r="H209" s="6" t="inlineStr">
        <is>
          <t>Frozen once published</t>
        </is>
      </c>
      <c r="I209" s="6" t="inlineStr">
        <is>
          <t>All figures, targets and definitions used.</t>
        </is>
      </c>
      <c r="J209" s="6" t="inlineStr">
        <is>
          <t>{…}</t>
        </is>
      </c>
      <c r="K209" s="18" t="n"/>
    </row>
    <row r="210">
      <c r="A210" s="13" t="inlineStr">
        <is>
          <t>Reports</t>
        </is>
      </c>
      <c r="B210" s="13" t="inlineStr">
        <is>
          <t>report_versions</t>
        </is>
      </c>
      <c r="C210" s="6" t="inlineStr">
        <is>
          <t>manifest_hash</t>
        </is>
      </c>
      <c r="D210" s="6" t="inlineStr">
        <is>
          <t>text</t>
        </is>
      </c>
      <c r="E210" s="6" t="inlineStr"/>
      <c r="F210" s="6" t="inlineStr">
        <is>
          <t>Y</t>
        </is>
      </c>
      <c r="G210" s="6" t="inlineStr"/>
      <c r="H210" s="6" t="inlineStr"/>
      <c r="I210" s="6" t="inlineStr">
        <is>
          <t>Proves the snapshot did not change.</t>
        </is>
      </c>
      <c r="J210" s="6" t="inlineStr">
        <is>
          <t>c09d…</t>
        </is>
      </c>
      <c r="K210" s="18" t="n"/>
    </row>
    <row r="211">
      <c r="A211" s="13" t="inlineStr">
        <is>
          <t>Reports</t>
        </is>
      </c>
      <c r="B211" s="13" t="inlineStr">
        <is>
          <t>report_versions</t>
        </is>
      </c>
      <c r="C211" s="6" t="inlineStr">
        <is>
          <t>published_at</t>
        </is>
      </c>
      <c r="D211" s="6" t="inlineStr">
        <is>
          <t>timestamptz</t>
        </is>
      </c>
      <c r="E211" s="6" t="inlineStr"/>
      <c r="F211" s="6" t="inlineStr">
        <is>
          <t>N</t>
        </is>
      </c>
      <c r="G211" s="6" t="inlineStr"/>
      <c r="H211" s="6" t="inlineStr"/>
      <c r="I211" s="6" t="inlineStr">
        <is>
          <t>When published.</t>
        </is>
      </c>
      <c r="J211" s="6" t="inlineStr">
        <is>
          <t>2026-05-27</t>
        </is>
      </c>
      <c r="K211" s="18" t="n"/>
    </row>
    <row r="212">
      <c r="A212" s="13" t="inlineStr">
        <is>
          <t>Reports</t>
        </is>
      </c>
      <c r="B212" s="13" t="inlineStr">
        <is>
          <t>report_versions</t>
        </is>
      </c>
      <c r="C212" s="6" t="inlineStr">
        <is>
          <t>published_by</t>
        </is>
      </c>
      <c r="D212" s="6" t="inlineStr">
        <is>
          <t>uuid</t>
        </is>
      </c>
      <c r="E212" s="6" t="inlineStr">
        <is>
          <t>FK</t>
        </is>
      </c>
      <c r="F212" s="6" t="inlineStr">
        <is>
          <t>N</t>
        </is>
      </c>
      <c r="G212" s="6" t="inlineStr">
        <is>
          <t>users.id</t>
        </is>
      </c>
      <c r="H212" s="6" t="inlineStr"/>
      <c r="I212" s="6" t="inlineStr">
        <is>
          <t>Who published.</t>
        </is>
      </c>
      <c r="J212" s="6" t="inlineStr">
        <is>
          <t>Secretariat lead</t>
        </is>
      </c>
      <c r="K212" s="18" t="n"/>
    </row>
    <row r="213">
      <c r="A213" s="13" t="inlineStr">
        <is>
          <t>Reports</t>
        </is>
      </c>
      <c r="B213" s="13" t="inlineStr">
        <is>
          <t>report_versions</t>
        </is>
      </c>
      <c r="C213" s="6" t="inlineStr">
        <is>
          <t>supersedes_id</t>
        </is>
      </c>
      <c r="D213" s="6" t="inlineStr">
        <is>
          <t>uuid</t>
        </is>
      </c>
      <c r="E213" s="6" t="inlineStr">
        <is>
          <t>FK</t>
        </is>
      </c>
      <c r="F213" s="6" t="inlineStr">
        <is>
          <t>N</t>
        </is>
      </c>
      <c r="G213" s="6" t="inlineStr">
        <is>
          <t>report_versions.id</t>
        </is>
      </c>
      <c r="H213" s="6" t="inlineStr"/>
      <c r="I213" s="6" t="inlineStr">
        <is>
          <t>Earlier version it replaces.</t>
        </is>
      </c>
      <c r="J213" s="6" t="inlineStr"/>
      <c r="K213" s="18" t="n"/>
    </row>
    <row r="214">
      <c r="A214" s="13" t="inlineStr">
        <is>
          <t>Reports</t>
        </is>
      </c>
      <c r="B214" s="13" t="inlineStr">
        <is>
          <t>report_versions</t>
        </is>
      </c>
      <c r="C214" s="6" t="inlineStr">
        <is>
          <t>pdf_file_id</t>
        </is>
      </c>
      <c r="D214" s="6" t="inlineStr">
        <is>
          <t>uuid</t>
        </is>
      </c>
      <c r="E214" s="6" t="inlineStr">
        <is>
          <t>FK</t>
        </is>
      </c>
      <c r="F214" s="6" t="inlineStr">
        <is>
          <t>N</t>
        </is>
      </c>
      <c r="G214" s="6" t="inlineStr">
        <is>
          <t>evidence_files.id</t>
        </is>
      </c>
      <c r="H214" s="6" t="inlineStr"/>
      <c r="I214" s="6" t="inlineStr">
        <is>
          <t>Printable copy.</t>
        </is>
      </c>
      <c r="J214" s="6" t="inlineStr"/>
      <c r="K214" s="18" t="n"/>
    </row>
    <row r="215">
      <c r="A215" s="14" t="inlineStr">
        <is>
          <t>Users &amp; access</t>
        </is>
      </c>
      <c r="B215" s="14" t="inlineStr">
        <is>
          <t>users</t>
        </is>
      </c>
      <c r="C215" s="6" t="inlineStr">
        <is>
          <t>auth_user_id</t>
        </is>
      </c>
      <c r="D215" s="6" t="inlineStr">
        <is>
          <t>text</t>
        </is>
      </c>
      <c r="E215" s="6" t="inlineStr">
        <is>
          <t>UK</t>
        </is>
      </c>
      <c r="F215" s="6" t="inlineStr">
        <is>
          <t>Y</t>
        </is>
      </c>
      <c r="G215" s="6" t="inlineStr"/>
      <c r="H215" s="6" t="inlineStr">
        <is>
          <t>From the sign-in service</t>
        </is>
      </c>
      <c r="I215" s="6" t="inlineStr">
        <is>
          <t>Link to the login account.</t>
        </is>
      </c>
      <c r="J215" s="6" t="inlineStr">
        <is>
          <t>auth|…</t>
        </is>
      </c>
      <c r="K215" s="18" t="n"/>
    </row>
    <row r="216">
      <c r="A216" s="14" t="inlineStr">
        <is>
          <t>Users &amp; access</t>
        </is>
      </c>
      <c r="B216" s="14" t="inlineStr">
        <is>
          <t>users</t>
        </is>
      </c>
      <c r="C216" s="6" t="inlineStr">
        <is>
          <t>email</t>
        </is>
      </c>
      <c r="D216" s="6" t="inlineStr">
        <is>
          <t>text</t>
        </is>
      </c>
      <c r="E216" s="6" t="inlineStr">
        <is>
          <t>UK</t>
        </is>
      </c>
      <c r="F216" s="6" t="inlineStr">
        <is>
          <t>Y</t>
        </is>
      </c>
      <c r="G216" s="6" t="inlineStr"/>
      <c r="H216" s="6" t="inlineStr">
        <is>
          <t>Personal data</t>
        </is>
      </c>
      <c r="I216" s="6" t="inlineStr">
        <is>
          <t>Sign-in email.</t>
        </is>
      </c>
      <c r="J216" s="6" t="inlineStr">
        <is>
          <t>focal.maff@example.gov.kh</t>
        </is>
      </c>
      <c r="K216" s="18" t="n"/>
    </row>
    <row r="217">
      <c r="A217" s="14" t="inlineStr">
        <is>
          <t>Users &amp; access</t>
        </is>
      </c>
      <c r="B217" s="14" t="inlineStr">
        <is>
          <t>users</t>
        </is>
      </c>
      <c r="C217" s="6" t="inlineStr">
        <is>
          <t>full_name</t>
        </is>
      </c>
      <c r="D217" s="6" t="inlineStr">
        <is>
          <t>text</t>
        </is>
      </c>
      <c r="E217" s="6" t="inlineStr"/>
      <c r="F217" s="6" t="inlineStr">
        <is>
          <t>Y</t>
        </is>
      </c>
      <c r="G217" s="6" t="inlineStr"/>
      <c r="H217" s="6" t="inlineStr">
        <is>
          <t>Personal data</t>
        </is>
      </c>
      <c r="I217" s="6" t="inlineStr">
        <is>
          <t>Name.</t>
        </is>
      </c>
      <c r="J217" s="6" t="inlineStr">
        <is>
          <t>(name)</t>
        </is>
      </c>
      <c r="K217" s="18" t="n"/>
    </row>
    <row r="218">
      <c r="A218" s="14" t="inlineStr">
        <is>
          <t>Users &amp; access</t>
        </is>
      </c>
      <c r="B218" s="14" t="inlineStr">
        <is>
          <t>users</t>
        </is>
      </c>
      <c r="C218" s="6" t="inlineStr">
        <is>
          <t>phone</t>
        </is>
      </c>
      <c r="D218" s="6" t="inlineStr">
        <is>
          <t>text</t>
        </is>
      </c>
      <c r="E218" s="6" t="inlineStr"/>
      <c r="F218" s="6" t="inlineStr">
        <is>
          <t>N</t>
        </is>
      </c>
      <c r="G218" s="6" t="inlineStr"/>
      <c r="H218" s="6" t="inlineStr">
        <is>
          <t>Personal data</t>
        </is>
      </c>
      <c r="I218" s="6" t="inlineStr">
        <is>
          <t>Phone.</t>
        </is>
      </c>
      <c r="J218" s="6" t="inlineStr"/>
      <c r="K218" s="18" t="n"/>
    </row>
    <row r="219">
      <c r="A219" s="14" t="inlineStr">
        <is>
          <t>Users &amp; access</t>
        </is>
      </c>
      <c r="B219" s="14" t="inlineStr">
        <is>
          <t>users</t>
        </is>
      </c>
      <c r="C219" s="6" t="inlineStr">
        <is>
          <t>preferred_language</t>
        </is>
      </c>
      <c r="D219" s="6" t="inlineStr">
        <is>
          <t>text</t>
        </is>
      </c>
      <c r="E219" s="6" t="inlineStr"/>
      <c r="F219" s="6" t="inlineStr">
        <is>
          <t>Y</t>
        </is>
      </c>
      <c r="G219" s="6" t="inlineStr"/>
      <c r="H219" s="6" t="inlineStr">
        <is>
          <t>en | km</t>
        </is>
      </c>
      <c r="I219" s="6" t="inlineStr">
        <is>
          <t>Interface language.</t>
        </is>
      </c>
      <c r="J219" s="6" t="inlineStr">
        <is>
          <t>km</t>
        </is>
      </c>
      <c r="K219" s="18" t="n"/>
    </row>
    <row r="220">
      <c r="A220" s="14" t="inlineStr">
        <is>
          <t>Users &amp; access</t>
        </is>
      </c>
      <c r="B220" s="14" t="inlineStr">
        <is>
          <t>users</t>
        </is>
      </c>
      <c r="C220" s="6" t="inlineStr">
        <is>
          <t>status</t>
        </is>
      </c>
      <c r="D220" s="6" t="inlineStr">
        <is>
          <t>text</t>
        </is>
      </c>
      <c r="E220" s="6" t="inlineStr"/>
      <c r="F220" s="6" t="inlineStr">
        <is>
          <t>Y</t>
        </is>
      </c>
      <c r="G220" s="6" t="inlineStr"/>
      <c r="H220" s="6" t="inlineStr">
        <is>
          <t>invited | active | deactivated</t>
        </is>
      </c>
      <c r="I220" s="6" t="inlineStr">
        <is>
          <t>Deactivate, never delete.</t>
        </is>
      </c>
      <c r="J220" s="6" t="inlineStr">
        <is>
          <t>active</t>
        </is>
      </c>
      <c r="K220" s="18" t="n"/>
    </row>
    <row r="221">
      <c r="A221" s="14" t="inlineStr">
        <is>
          <t>Users &amp; access</t>
        </is>
      </c>
      <c r="B221" s="14" t="inlineStr">
        <is>
          <t>users</t>
        </is>
      </c>
      <c r="C221" s="6" t="inlineStr">
        <is>
          <t>last_sign_in_at</t>
        </is>
      </c>
      <c r="D221" s="6" t="inlineStr">
        <is>
          <t>timestamptz</t>
        </is>
      </c>
      <c r="E221" s="6" t="inlineStr"/>
      <c r="F221" s="6" t="inlineStr">
        <is>
          <t>N</t>
        </is>
      </c>
      <c r="G221" s="6" t="inlineStr"/>
      <c r="H221" s="6" t="inlineStr"/>
      <c r="I221" s="6" t="inlineStr"/>
      <c r="J221" s="6" t="inlineStr">
        <is>
          <t>2026-09-20</t>
        </is>
      </c>
      <c r="K221" s="18" t="n"/>
    </row>
    <row r="222">
      <c r="A222" s="14" t="inlineStr">
        <is>
          <t>Users &amp; access</t>
        </is>
      </c>
      <c r="B222" s="14" t="inlineStr">
        <is>
          <t>memberships</t>
        </is>
      </c>
      <c r="C222" s="6" t="inlineStr">
        <is>
          <t>user_id</t>
        </is>
      </c>
      <c r="D222" s="6" t="inlineStr">
        <is>
          <t>uuid</t>
        </is>
      </c>
      <c r="E222" s="6" t="inlineStr">
        <is>
          <t>FK</t>
        </is>
      </c>
      <c r="F222" s="6" t="inlineStr">
        <is>
          <t>Y</t>
        </is>
      </c>
      <c r="G222" s="6" t="inlineStr">
        <is>
          <t>users.id</t>
        </is>
      </c>
      <c r="H222" s="6" t="inlineStr">
        <is>
          <t>Unique with workspace_id</t>
        </is>
      </c>
      <c r="I222" s="6" t="inlineStr">
        <is>
          <t>User.</t>
        </is>
      </c>
      <c r="J222" s="6" t="inlineStr">
        <is>
          <t>MAFF focal point</t>
        </is>
      </c>
      <c r="K222" s="18" t="n"/>
    </row>
    <row r="223">
      <c r="A223" s="14" t="inlineStr">
        <is>
          <t>Users &amp; access</t>
        </is>
      </c>
      <c r="B223" s="14" t="inlineStr">
        <is>
          <t>memberships</t>
        </is>
      </c>
      <c r="C223" s="6" t="inlineStr">
        <is>
          <t>ministry_id</t>
        </is>
      </c>
      <c r="D223" s="6" t="inlineStr">
        <is>
          <t>uuid</t>
        </is>
      </c>
      <c r="E223" s="6" t="inlineStr">
        <is>
          <t>FK</t>
        </is>
      </c>
      <c r="F223" s="6" t="inlineStr">
        <is>
          <t>Y</t>
        </is>
      </c>
      <c r="G223" s="6" t="inlineStr">
        <is>
          <t>ministries.id</t>
        </is>
      </c>
      <c r="H223" s="6" t="inlineStr"/>
      <c r="I223" s="6" t="inlineStr">
        <is>
          <t>Ministry the person works for.</t>
        </is>
      </c>
      <c r="J223" s="6" t="inlineStr">
        <is>
          <t>maff</t>
        </is>
      </c>
      <c r="K223" s="18" t="n"/>
    </row>
    <row r="224">
      <c r="A224" s="14" t="inlineStr">
        <is>
          <t>Users &amp; access</t>
        </is>
      </c>
      <c r="B224" s="14" t="inlineStr">
        <is>
          <t>memberships</t>
        </is>
      </c>
      <c r="C224" s="6" t="inlineStr">
        <is>
          <t>job_title</t>
        </is>
      </c>
      <c r="D224" s="6" t="inlineStr">
        <is>
          <t>text</t>
        </is>
      </c>
      <c r="E224" s="6" t="inlineStr"/>
      <c r="F224" s="6" t="inlineStr">
        <is>
          <t>N</t>
        </is>
      </c>
      <c r="G224" s="6" t="inlineStr"/>
      <c r="H224" s="6" t="inlineStr"/>
      <c r="I224" s="6" t="inlineStr">
        <is>
          <t>Position.</t>
        </is>
      </c>
      <c r="J224" s="6" t="inlineStr">
        <is>
          <t>Deputy Director, Planning</t>
        </is>
      </c>
      <c r="K224" s="18" t="n"/>
    </row>
    <row r="225">
      <c r="A225" s="14" t="inlineStr">
        <is>
          <t>Users &amp; access</t>
        </is>
      </c>
      <c r="B225" s="14" t="inlineStr">
        <is>
          <t>memberships</t>
        </is>
      </c>
      <c r="C225" s="6" t="inlineStr">
        <is>
          <t>status</t>
        </is>
      </c>
      <c r="D225" s="6" t="inlineStr">
        <is>
          <t>text</t>
        </is>
      </c>
      <c r="E225" s="6" t="inlineStr"/>
      <c r="F225" s="6" t="inlineStr">
        <is>
          <t>Y</t>
        </is>
      </c>
      <c r="G225" s="6" t="inlineStr"/>
      <c r="H225" s="6" t="inlineStr">
        <is>
          <t>active | deactivated</t>
        </is>
      </c>
      <c r="I225" s="6" t="inlineStr">
        <is>
          <t>Deactivated members lose access immediately.</t>
        </is>
      </c>
      <c r="J225" s="6" t="inlineStr">
        <is>
          <t>active</t>
        </is>
      </c>
      <c r="K225" s="18" t="n"/>
    </row>
    <row r="226">
      <c r="A226" s="14" t="inlineStr">
        <is>
          <t>Users &amp; access</t>
        </is>
      </c>
      <c r="B226" s="14" t="inlineStr">
        <is>
          <t>role_grants</t>
        </is>
      </c>
      <c r="C226" s="6" t="inlineStr">
        <is>
          <t>membership_id</t>
        </is>
      </c>
      <c r="D226" s="6" t="inlineStr">
        <is>
          <t>uuid</t>
        </is>
      </c>
      <c r="E226" s="6" t="inlineStr">
        <is>
          <t>FK</t>
        </is>
      </c>
      <c r="F226" s="6" t="inlineStr">
        <is>
          <t>Y</t>
        </is>
      </c>
      <c r="G226" s="6" t="inlineStr">
        <is>
          <t>memberships.id</t>
        </is>
      </c>
      <c r="H226" s="6" t="inlineStr"/>
      <c r="I226" s="6" t="inlineStr">
        <is>
          <t>Membership.</t>
        </is>
      </c>
      <c r="J226" s="6" t="inlineStr">
        <is>
          <t>MAFF focal point</t>
        </is>
      </c>
      <c r="K226" s="18" t="n"/>
    </row>
    <row r="227">
      <c r="A227" s="14" t="inlineStr">
        <is>
          <t>Users &amp; access</t>
        </is>
      </c>
      <c r="B227" s="14" t="inlineStr">
        <is>
          <t>role_grants</t>
        </is>
      </c>
      <c r="C227" s="6" t="inlineStr">
        <is>
          <t>role</t>
        </is>
      </c>
      <c r="D227" s="6" t="inlineStr">
        <is>
          <t>text</t>
        </is>
      </c>
      <c r="E227" s="6" t="inlineStr"/>
      <c r="F227" s="6" t="inlineStr">
        <is>
          <t>Y</t>
        </is>
      </c>
      <c r="G227" s="6" t="inlineStr"/>
      <c r="H227" s="6" t="inlineStr">
        <is>
          <t>admin | reviewer | focal | viewer</t>
        </is>
      </c>
      <c r="I227" s="6" t="inlineStr">
        <is>
          <t>Pilot role.</t>
        </is>
      </c>
      <c r="J227" s="6" t="inlineStr">
        <is>
          <t>focal</t>
        </is>
      </c>
      <c r="K227" s="18" t="n"/>
    </row>
    <row r="228">
      <c r="A228" s="14" t="inlineStr">
        <is>
          <t>Users &amp; access</t>
        </is>
      </c>
      <c r="B228" s="14" t="inlineStr">
        <is>
          <t>role_grants</t>
        </is>
      </c>
      <c r="C228" s="6" t="inlineStr">
        <is>
          <t>scope_type</t>
        </is>
      </c>
      <c r="D228" s="6" t="inlineStr">
        <is>
          <t>text</t>
        </is>
      </c>
      <c r="E228" s="6" t="inlineStr"/>
      <c r="F228" s="6" t="inlineStr">
        <is>
          <t>Y</t>
        </is>
      </c>
      <c r="G228" s="6" t="inlineStr"/>
      <c r="H228" s="6" t="inlineStr">
        <is>
          <t>workspace | ministry | policy</t>
        </is>
      </c>
      <c r="I228" s="6" t="inlineStr">
        <is>
          <t>What the role applies to.</t>
        </is>
      </c>
      <c r="J228" s="6" t="inlineStr">
        <is>
          <t>ministry</t>
        </is>
      </c>
      <c r="K228" s="18" t="n"/>
    </row>
    <row r="229">
      <c r="A229" s="14" t="inlineStr">
        <is>
          <t>Users &amp; access</t>
        </is>
      </c>
      <c r="B229" s="14" t="inlineStr">
        <is>
          <t>role_grants</t>
        </is>
      </c>
      <c r="C229" s="6" t="inlineStr">
        <is>
          <t>scope_ministry_id</t>
        </is>
      </c>
      <c r="D229" s="6" t="inlineStr">
        <is>
          <t>uuid</t>
        </is>
      </c>
      <c r="E229" s="6" t="inlineStr">
        <is>
          <t>FK</t>
        </is>
      </c>
      <c r="F229" s="6" t="inlineStr">
        <is>
          <t>N</t>
        </is>
      </c>
      <c r="G229" s="6" t="inlineStr">
        <is>
          <t>ministries.id</t>
        </is>
      </c>
      <c r="H229" s="6" t="inlineStr">
        <is>
          <t>Required when scope_type = ministry</t>
        </is>
      </c>
      <c r="I229" s="6" t="inlineStr">
        <is>
          <t>Ministry in scope.</t>
        </is>
      </c>
      <c r="J229" s="6" t="inlineStr">
        <is>
          <t>maff</t>
        </is>
      </c>
      <c r="K229" s="18" t="n"/>
    </row>
    <row r="230">
      <c r="A230" s="14" t="inlineStr">
        <is>
          <t>Users &amp; access</t>
        </is>
      </c>
      <c r="B230" s="14" t="inlineStr">
        <is>
          <t>role_grants</t>
        </is>
      </c>
      <c r="C230" s="6" t="inlineStr">
        <is>
          <t>scope_policy_id</t>
        </is>
      </c>
      <c r="D230" s="6" t="inlineStr">
        <is>
          <t>uuid</t>
        </is>
      </c>
      <c r="E230" s="6" t="inlineStr">
        <is>
          <t>FK</t>
        </is>
      </c>
      <c r="F230" s="6" t="inlineStr">
        <is>
          <t>N</t>
        </is>
      </c>
      <c r="G230" s="6" t="inlineStr">
        <is>
          <t>policies.id</t>
        </is>
      </c>
      <c r="H230" s="6" t="inlineStr">
        <is>
          <t>Required when scope_type = policy</t>
        </is>
      </c>
      <c r="I230" s="6" t="inlineStr">
        <is>
          <t>Policy in scope.</t>
        </is>
      </c>
      <c r="J230" s="6" t="inlineStr"/>
      <c r="K230" s="18" t="n"/>
    </row>
    <row r="231">
      <c r="A231" s="14" t="inlineStr">
        <is>
          <t>Users &amp; access</t>
        </is>
      </c>
      <c r="B231" s="14" t="inlineStr">
        <is>
          <t>role_grants</t>
        </is>
      </c>
      <c r="C231" s="6" t="inlineStr">
        <is>
          <t>granted_by</t>
        </is>
      </c>
      <c r="D231" s="6" t="inlineStr">
        <is>
          <t>uuid</t>
        </is>
      </c>
      <c r="E231" s="6" t="inlineStr">
        <is>
          <t>FK</t>
        </is>
      </c>
      <c r="F231" s="6" t="inlineStr">
        <is>
          <t>Y</t>
        </is>
      </c>
      <c r="G231" s="6" t="inlineStr">
        <is>
          <t>users.id</t>
        </is>
      </c>
      <c r="H231" s="6" t="inlineStr"/>
      <c r="I231" s="6" t="inlineStr">
        <is>
          <t>Administrator who granted it.</t>
        </is>
      </c>
      <c r="J231" s="6" t="inlineStr">
        <is>
          <t>Secretariat lead</t>
        </is>
      </c>
      <c r="K231" s="18" t="n"/>
    </row>
    <row r="232">
      <c r="A232" s="14" t="inlineStr">
        <is>
          <t>Users &amp; access</t>
        </is>
      </c>
      <c r="B232" s="14" t="inlineStr">
        <is>
          <t>role_grants</t>
        </is>
      </c>
      <c r="C232" s="6" t="inlineStr">
        <is>
          <t>valid_from</t>
        </is>
      </c>
      <c r="D232" s="6" t="inlineStr">
        <is>
          <t>date</t>
        </is>
      </c>
      <c r="E232" s="6" t="inlineStr"/>
      <c r="F232" s="6" t="inlineStr">
        <is>
          <t>Y</t>
        </is>
      </c>
      <c r="G232" s="6" t="inlineStr"/>
      <c r="H232" s="6" t="inlineStr"/>
      <c r="I232" s="6" t="inlineStr"/>
      <c r="J232" s="6" t="inlineStr">
        <is>
          <t>2026-10-01</t>
        </is>
      </c>
      <c r="K232" s="18" t="n"/>
    </row>
    <row r="233">
      <c r="A233" s="14" t="inlineStr">
        <is>
          <t>Users &amp; access</t>
        </is>
      </c>
      <c r="B233" s="14" t="inlineStr">
        <is>
          <t>role_grants</t>
        </is>
      </c>
      <c r="C233" s="6" t="inlineStr">
        <is>
          <t>valid_to</t>
        </is>
      </c>
      <c r="D233" s="6" t="inlineStr">
        <is>
          <t>date</t>
        </is>
      </c>
      <c r="E233" s="6" t="inlineStr"/>
      <c r="F233" s="6" t="inlineStr">
        <is>
          <t>N</t>
        </is>
      </c>
      <c r="G233" s="6" t="inlineStr"/>
      <c r="H233" s="6" t="inlineStr"/>
      <c r="I233" s="6" t="inlineStr">
        <is>
          <t>Empty = no end date.</t>
        </is>
      </c>
      <c r="J233" s="6" t="inlineStr"/>
      <c r="K233" s="18" t="n"/>
    </row>
    <row r="234">
      <c r="A234" s="14" t="inlineStr">
        <is>
          <t>Control</t>
        </is>
      </c>
      <c r="B234" s="14" t="inlineStr">
        <is>
          <t>audit_events</t>
        </is>
      </c>
      <c r="C234" s="6" t="inlineStr">
        <is>
          <t>actor_id</t>
        </is>
      </c>
      <c r="D234" s="6" t="inlineStr">
        <is>
          <t>uuid</t>
        </is>
      </c>
      <c r="E234" s="6" t="inlineStr">
        <is>
          <t>FK</t>
        </is>
      </c>
      <c r="F234" s="6" t="inlineStr">
        <is>
          <t>N</t>
        </is>
      </c>
      <c r="G234" s="6" t="inlineStr">
        <is>
          <t>users.id</t>
        </is>
      </c>
      <c r="H234" s="6" t="inlineStr">
        <is>
          <t>Empty for system jobs</t>
        </is>
      </c>
      <c r="I234" s="6" t="inlineStr">
        <is>
          <t>Who acted.</t>
        </is>
      </c>
      <c r="J234" s="6" t="inlineStr">
        <is>
          <t>Secretariat officer</t>
        </is>
      </c>
      <c r="K234" s="18" t="n"/>
    </row>
    <row r="235">
      <c r="A235" s="14" t="inlineStr">
        <is>
          <t>Control</t>
        </is>
      </c>
      <c r="B235" s="14" t="inlineStr">
        <is>
          <t>audit_events</t>
        </is>
      </c>
      <c r="C235" s="6" t="inlineStr">
        <is>
          <t>action</t>
        </is>
      </c>
      <c r="D235" s="6" t="inlineStr">
        <is>
          <t>text</t>
        </is>
      </c>
      <c r="E235" s="6" t="inlineStr"/>
      <c r="F235" s="6" t="inlineStr">
        <is>
          <t>Y</t>
        </is>
      </c>
      <c r="G235" s="6" t="inlineStr"/>
      <c r="H235" s="6" t="inlineStr">
        <is>
          <t>dot.notation, e.g. submission.approved</t>
        </is>
      </c>
      <c r="I235" s="6" t="inlineStr">
        <is>
          <t>What happened.</t>
        </is>
      </c>
      <c r="J235" s="6" t="inlineStr">
        <is>
          <t>submission.approved</t>
        </is>
      </c>
      <c r="K235" s="18" t="n"/>
    </row>
    <row r="236">
      <c r="A236" s="14" t="inlineStr">
        <is>
          <t>Control</t>
        </is>
      </c>
      <c r="B236" s="14" t="inlineStr">
        <is>
          <t>audit_events</t>
        </is>
      </c>
      <c r="C236" s="6" t="inlineStr">
        <is>
          <t>record_type</t>
        </is>
      </c>
      <c r="D236" s="6" t="inlineStr">
        <is>
          <t>text</t>
        </is>
      </c>
      <c r="E236" s="6" t="inlineStr"/>
      <c r="F236" s="6" t="inlineStr">
        <is>
          <t>Y</t>
        </is>
      </c>
      <c r="G236" s="6" t="inlineStr"/>
      <c r="H236" s="6" t="inlineStr"/>
      <c r="I236" s="6" t="inlineStr">
        <is>
          <t>Kind of record affected.</t>
        </is>
      </c>
      <c r="J236" s="6" t="inlineStr">
        <is>
          <t>submission_revision</t>
        </is>
      </c>
      <c r="K236" s="18" t="n"/>
    </row>
    <row r="237">
      <c r="A237" s="14" t="inlineStr">
        <is>
          <t>Control</t>
        </is>
      </c>
      <c r="B237" s="14" t="inlineStr">
        <is>
          <t>audit_events</t>
        </is>
      </c>
      <c r="C237" s="6" t="inlineStr">
        <is>
          <t>record_id</t>
        </is>
      </c>
      <c r="D237" s="6" t="inlineStr">
        <is>
          <t>uuid</t>
        </is>
      </c>
      <c r="E237" s="6" t="inlineStr"/>
      <c r="F237" s="6" t="inlineStr">
        <is>
          <t>Y</t>
        </is>
      </c>
      <c r="G237" s="6" t="inlineStr"/>
      <c r="H237" s="6" t="inlineStr"/>
      <c r="I237" s="6" t="inlineStr">
        <is>
          <t>Record affected.</t>
        </is>
      </c>
      <c r="J237" s="6" t="inlineStr">
        <is>
          <t>RY2026-MRD r1</t>
        </is>
      </c>
      <c r="K237" s="18" t="n"/>
    </row>
    <row r="238">
      <c r="A238" s="14" t="inlineStr">
        <is>
          <t>Control</t>
        </is>
      </c>
      <c r="B238" s="14" t="inlineStr">
        <is>
          <t>audit_events</t>
        </is>
      </c>
      <c r="C238" s="6" t="inlineStr">
        <is>
          <t>reason</t>
        </is>
      </c>
      <c r="D238" s="6" t="inlineStr">
        <is>
          <t>text</t>
        </is>
      </c>
      <c r="E238" s="6" t="inlineStr"/>
      <c r="F238" s="6" t="inlineStr">
        <is>
          <t>N</t>
        </is>
      </c>
      <c r="G238" s="6" t="inlineStr"/>
      <c r="H238" s="6" t="inlineStr">
        <is>
          <t>Required for exceptional access</t>
        </is>
      </c>
      <c r="I238" s="6" t="inlineStr">
        <is>
          <t>Why.</t>
        </is>
      </c>
      <c r="J238" s="6" t="inlineStr"/>
      <c r="K238" s="18" t="n"/>
    </row>
    <row r="239">
      <c r="A239" s="14" t="inlineStr">
        <is>
          <t>Control</t>
        </is>
      </c>
      <c r="B239" s="14" t="inlineStr">
        <is>
          <t>audit_events</t>
        </is>
      </c>
      <c r="C239" s="6" t="inlineStr">
        <is>
          <t>metadata</t>
        </is>
      </c>
      <c r="D239" s="6" t="inlineStr">
        <is>
          <t>jsonb</t>
        </is>
      </c>
      <c r="E239" s="6" t="inlineStr"/>
      <c r="F239" s="6" t="inlineStr">
        <is>
          <t>N</t>
        </is>
      </c>
      <c r="G239" s="6" t="inlineStr"/>
      <c r="H239" s="6" t="inlineStr">
        <is>
          <t>No sensitive values</t>
        </is>
      </c>
      <c r="I239" s="6" t="inlineStr">
        <is>
          <t>Extra details.</t>
        </is>
      </c>
      <c r="J239" s="6" t="inlineStr">
        <is>
          <t>{"from":"submitted","to":"approved"}</t>
        </is>
      </c>
      <c r="K239" s="18" t="n"/>
    </row>
    <row r="240">
      <c r="A240" s="14" t="inlineStr">
        <is>
          <t>Control</t>
        </is>
      </c>
      <c r="B240" s="14" t="inlineStr">
        <is>
          <t>audit_events</t>
        </is>
      </c>
      <c r="C240" s="6" t="inlineStr">
        <is>
          <t>request_id</t>
        </is>
      </c>
      <c r="D240" s="6" t="inlineStr">
        <is>
          <t>text</t>
        </is>
      </c>
      <c r="E240" s="6" t="inlineStr"/>
      <c r="F240" s="6" t="inlineStr">
        <is>
          <t>N</t>
        </is>
      </c>
      <c r="G240" s="6" t="inlineStr"/>
      <c r="H240" s="6" t="inlineStr"/>
      <c r="I240" s="6" t="inlineStr">
        <is>
          <t>Links to technical logs.</t>
        </is>
      </c>
      <c r="J240" s="6" t="inlineStr">
        <is>
          <t>req_7f2…</t>
        </is>
      </c>
      <c r="K240" s="18" t="n"/>
    </row>
    <row r="241">
      <c r="A241" s="14" t="inlineStr">
        <is>
          <t>Control</t>
        </is>
      </c>
      <c r="B241" s="14" t="inlineStr">
        <is>
          <t>audit_events</t>
        </is>
      </c>
      <c r="C241" s="6" t="inlineStr">
        <is>
          <t>occurred_at</t>
        </is>
      </c>
      <c r="D241" s="6" t="inlineStr">
        <is>
          <t>timestamptz</t>
        </is>
      </c>
      <c r="E241" s="6" t="inlineStr"/>
      <c r="F241" s="6" t="inlineStr">
        <is>
          <t>Y</t>
        </is>
      </c>
      <c r="G241" s="6" t="inlineStr"/>
      <c r="H241" s="6" t="inlineStr">
        <is>
          <t>Insert-only: no updates or deletes</t>
        </is>
      </c>
      <c r="I241" s="6" t="inlineStr">
        <is>
          <t>When.</t>
        </is>
      </c>
      <c r="J241" s="6" t="inlineStr">
        <is>
          <t>2026-09-26 10:12 UTC</t>
        </is>
      </c>
      <c r="K241" s="18" t="n"/>
    </row>
  </sheetData>
  <autoFilter ref="A1:K24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zoomScale="10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70" customWidth="1" min="3" max="3"/>
  </cols>
  <sheetData>
    <row r="1">
      <c r="A1" s="5" t="inlineStr">
        <is>
          <t>List</t>
        </is>
      </c>
      <c r="B1" s="5" t="inlineStr">
        <is>
          <t>Value</t>
        </is>
      </c>
      <c r="C1" s="5" t="inlineStr">
        <is>
          <t>Meaning</t>
        </is>
      </c>
    </row>
    <row r="2">
      <c r="A2" s="6" t="inlineStr">
        <is>
          <t>role</t>
        </is>
      </c>
      <c r="B2" s="6" t="inlineStr">
        <is>
          <t>admin</t>
        </is>
      </c>
      <c r="C2" s="6" t="inlineStr">
        <is>
          <t>Administrator (M&amp;E manager); may also review</t>
        </is>
      </c>
    </row>
    <row r="3">
      <c r="A3" s="6" t="inlineStr">
        <is>
          <t>role</t>
        </is>
      </c>
      <c r="B3" s="6" t="inlineStr">
        <is>
          <t>reviewer</t>
        </is>
      </c>
      <c r="C3" s="6" t="inlineStr">
        <is>
          <t>Reviewer</t>
        </is>
      </c>
    </row>
    <row r="4">
      <c r="A4" s="6" t="inlineStr">
        <is>
          <t>role</t>
        </is>
      </c>
      <c r="B4" s="6" t="inlineStr">
        <is>
          <t>focal</t>
        </is>
      </c>
      <c r="C4" s="6" t="inlineStr">
        <is>
          <t>Ministry focal point (own ministry only)</t>
        </is>
      </c>
    </row>
    <row r="5">
      <c r="A5" s="6" t="inlineStr">
        <is>
          <t>role</t>
        </is>
      </c>
      <c r="B5" s="6" t="inlineStr">
        <is>
          <t>viewer</t>
        </is>
      </c>
      <c r="C5" s="6" t="inlineStr">
        <is>
          <t>Viewer (Committee): approved figures only</t>
        </is>
      </c>
    </row>
    <row r="6">
      <c r="A6" s="6" t="inlineStr">
        <is>
          <t>submission state</t>
        </is>
      </c>
      <c r="B6" s="6" t="inlineStr">
        <is>
          <t>draft</t>
        </is>
      </c>
      <c r="C6" s="6" t="inlineStr">
        <is>
          <t>Being filled; not visible to reviewers</t>
        </is>
      </c>
    </row>
    <row r="7">
      <c r="A7" s="6" t="inlineStr">
        <is>
          <t>submission state</t>
        </is>
      </c>
      <c r="B7" s="6" t="inlineStr">
        <is>
          <t>submitted</t>
        </is>
      </c>
      <c r="C7" s="6" t="inlineStr">
        <is>
          <t>Sent to MoC; locked</t>
        </is>
      </c>
    </row>
    <row r="8">
      <c r="A8" s="6" t="inlineStr">
        <is>
          <t>submission state</t>
        </is>
      </c>
      <c r="B8" s="6" t="inlineStr">
        <is>
          <t>in_review</t>
        </is>
      </c>
      <c r="C8" s="6" t="inlineStr">
        <is>
          <t>A reviewer is checking it</t>
        </is>
      </c>
    </row>
    <row r="9">
      <c r="A9" s="6" t="inlineStr">
        <is>
          <t>submission state</t>
        </is>
      </c>
      <c r="B9" s="6" t="inlineStr">
        <is>
          <t>returned</t>
        </is>
      </c>
      <c r="C9" s="6" t="inlineStr">
        <is>
          <t>Query sent; ministry must correct (new revision)</t>
        </is>
      </c>
    </row>
    <row r="10">
      <c r="A10" s="6" t="inlineStr">
        <is>
          <t>submission state</t>
        </is>
      </c>
      <c r="B10" s="6" t="inlineStr">
        <is>
          <t>approved</t>
        </is>
      </c>
      <c r="C10" s="6" t="inlineStr">
        <is>
          <t>Accepted; values become official results</t>
        </is>
      </c>
    </row>
    <row r="11">
      <c r="A11" s="6" t="inlineStr">
        <is>
          <t>submission state</t>
        </is>
      </c>
      <c r="B11" s="6" t="inlineStr">
        <is>
          <t>rejected</t>
        </is>
      </c>
      <c r="C11" s="6" t="inlineStr">
        <is>
          <t>Not accepted; kept for the record</t>
        </is>
      </c>
    </row>
    <row r="12">
      <c r="A12" s="6" t="inlineStr">
        <is>
          <t>submission state</t>
        </is>
      </c>
      <c r="B12" s="6" t="inlineStr">
        <is>
          <t>superseded</t>
        </is>
      </c>
      <c r="C12" s="6" t="inlineStr">
        <is>
          <t>Replaced by a later approved revision</t>
        </is>
      </c>
    </row>
    <row r="13">
      <c r="A13" s="6" t="inlineStr">
        <is>
          <t>review action</t>
        </is>
      </c>
      <c r="B13" s="6" t="inlineStr">
        <is>
          <t>review_started</t>
        </is>
      </c>
      <c r="C13" s="6" t="inlineStr">
        <is>
          <t>Reviewer opened the revision</t>
        </is>
      </c>
    </row>
    <row r="14">
      <c r="A14" s="6" t="inlineStr">
        <is>
          <t>review action</t>
        </is>
      </c>
      <c r="B14" s="6" t="inlineStr">
        <is>
          <t>returned</t>
        </is>
      </c>
      <c r="C14" s="6" t="inlineStr">
        <is>
          <t>Query sent back (reason required)</t>
        </is>
      </c>
    </row>
    <row r="15">
      <c r="A15" s="6" t="inlineStr">
        <is>
          <t>review action</t>
        </is>
      </c>
      <c r="B15" s="6" t="inlineStr">
        <is>
          <t>approved</t>
        </is>
      </c>
      <c r="C15" s="6" t="inlineStr">
        <is>
          <t>Approved (not by the person who entered it)</t>
        </is>
      </c>
    </row>
    <row r="16">
      <c r="A16" s="6" t="inlineStr">
        <is>
          <t>review action</t>
        </is>
      </c>
      <c r="B16" s="6" t="inlineStr">
        <is>
          <t>rejected</t>
        </is>
      </c>
      <c r="C16" s="6" t="inlineStr">
        <is>
          <t>Rejected (reason required)</t>
        </is>
      </c>
    </row>
    <row r="17">
      <c r="A17" s="6" t="inlineStr">
        <is>
          <t>review action</t>
        </is>
      </c>
      <c r="B17" s="6" t="inlineStr">
        <is>
          <t>comment</t>
        </is>
      </c>
      <c r="C17" s="6" t="inlineStr">
        <is>
          <t>Note without a decision</t>
        </is>
      </c>
    </row>
    <row r="18">
      <c r="A18" s="6" t="inlineStr">
        <is>
          <t>method</t>
        </is>
      </c>
      <c r="B18" s="6" t="inlineStr">
        <is>
          <t>count_to_target</t>
        </is>
      </c>
      <c r="C18" s="6" t="inlineStr">
        <is>
          <t>% = round(value ÷ target × 100)</t>
        </is>
      </c>
    </row>
    <row r="19">
      <c r="A19" s="6" t="inlineStr">
        <is>
          <t>method</t>
        </is>
      </c>
      <c r="B19" s="6" t="inlineStr">
        <is>
          <t>percent_complete</t>
        </is>
      </c>
      <c r="C19" s="6" t="inlineStr">
        <is>
          <t>Value is a % complete; capped at 100 for status</t>
        </is>
      </c>
    </row>
    <row r="20">
      <c r="A20" s="6" t="inlineStr">
        <is>
          <t>method</t>
        </is>
      </c>
      <c r="B20" s="6" t="inlineStr">
        <is>
          <t>milestone</t>
        </is>
      </c>
      <c r="C20" s="6" t="inlineStr">
        <is>
          <t>Completed = 100, In progress = 50, Not started = 0</t>
        </is>
      </c>
    </row>
    <row r="21">
      <c r="A21" s="6" t="inlineStr">
        <is>
          <t>method</t>
        </is>
      </c>
      <c r="B21" s="6" t="inlineStr">
        <is>
          <t>inverse_time</t>
        </is>
      </c>
      <c r="C21" s="6" t="inlineStr">
        <is>
          <t>% = round(target ÷ value × 100), lower is better (e.g. days)</t>
        </is>
      </c>
    </row>
    <row r="22">
      <c r="A22" s="6" t="inlineStr">
        <is>
          <t>method</t>
        </is>
      </c>
      <c r="B22" s="6" t="inlineStr">
        <is>
          <t>baseline_trend</t>
        </is>
      </c>
      <c r="C22" s="6" t="inlineStr">
        <is>
          <t>Outcome indicators: change vs 2022 baseline, no target</t>
        </is>
      </c>
    </row>
    <row r="23">
      <c r="A23" s="6" t="inlineStr">
        <is>
          <t>result status</t>
        </is>
      </c>
      <c r="B23" s="6" t="inlineStr">
        <is>
          <t>fully_achieved</t>
        </is>
      </c>
      <c r="C23" s="6" t="inlineStr">
        <is>
          <t>Capped % ≥ fully threshold (100)</t>
        </is>
      </c>
    </row>
    <row r="24">
      <c r="A24" s="6" t="inlineStr">
        <is>
          <t>result status</t>
        </is>
      </c>
      <c r="B24" s="6" t="inlineStr">
        <is>
          <t>largely_achieved</t>
        </is>
      </c>
      <c r="C24" s="6" t="inlineStr">
        <is>
          <t>Capped % ≥ largely threshold (40 / 70 / 90 by year)</t>
        </is>
      </c>
    </row>
    <row r="25">
      <c r="A25" s="6" t="inlineStr">
        <is>
          <t>result status</t>
        </is>
      </c>
      <c r="B25" s="6" t="inlineStr">
        <is>
          <t>limited_progress</t>
        </is>
      </c>
      <c r="C25" s="6" t="inlineStr">
        <is>
          <t>Below the largely threshold</t>
        </is>
      </c>
    </row>
    <row r="26">
      <c r="A26" s="6" t="inlineStr">
        <is>
          <t>question type</t>
        </is>
      </c>
      <c r="B26" s="6" t="inlineStr">
        <is>
          <t>integer</t>
        </is>
      </c>
      <c r="C26" s="6" t="inlineStr">
        <is>
          <t>Whole number</t>
        </is>
      </c>
    </row>
    <row r="27">
      <c r="A27" s="6" t="inlineStr">
        <is>
          <t>question type</t>
        </is>
      </c>
      <c r="B27" s="6" t="inlineStr">
        <is>
          <t>decimal</t>
        </is>
      </c>
      <c r="C27" s="6" t="inlineStr">
        <is>
          <t>Number with decimals</t>
        </is>
      </c>
    </row>
    <row r="28">
      <c r="A28" s="6" t="inlineStr">
        <is>
          <t>question type</t>
        </is>
      </c>
      <c r="B28" s="6" t="inlineStr">
        <is>
          <t>select_one</t>
        </is>
      </c>
      <c r="C28" s="6" t="inlineStr">
        <is>
          <t>One choice from a list</t>
        </is>
      </c>
    </row>
    <row r="29">
      <c r="A29" s="6" t="inlineStr">
        <is>
          <t>question type</t>
        </is>
      </c>
      <c r="B29" s="6" t="inlineStr">
        <is>
          <t>select_multiple</t>
        </is>
      </c>
      <c r="C29" s="6" t="inlineStr">
        <is>
          <t>Several choices</t>
        </is>
      </c>
    </row>
    <row r="30">
      <c r="A30" s="6" t="inlineStr">
        <is>
          <t>question type</t>
        </is>
      </c>
      <c r="B30" s="6" t="inlineStr">
        <is>
          <t>text</t>
        </is>
      </c>
      <c r="C30" s="6" t="inlineStr">
        <is>
          <t>Short or long text</t>
        </is>
      </c>
    </row>
    <row r="31">
      <c r="A31" s="6" t="inlineStr">
        <is>
          <t>question type</t>
        </is>
      </c>
      <c r="B31" s="6" t="inlineStr">
        <is>
          <t>date</t>
        </is>
      </c>
      <c r="C31" s="6" t="inlineStr">
        <is>
          <t>Date</t>
        </is>
      </c>
    </row>
    <row r="32">
      <c r="A32" s="6" t="inlineStr">
        <is>
          <t>question type</t>
        </is>
      </c>
      <c r="B32" s="6" t="inlineStr">
        <is>
          <t>file</t>
        </is>
      </c>
      <c r="C32" s="6" t="inlineStr">
        <is>
          <t>Evidence file</t>
        </is>
      </c>
    </row>
    <row r="33">
      <c r="A33" s="6" t="inlineStr">
        <is>
          <t>question type</t>
        </is>
      </c>
      <c r="B33" s="6" t="inlineStr">
        <is>
          <t>calculate</t>
        </is>
      </c>
      <c r="C33" s="6" t="inlineStr">
        <is>
          <t>Calculated by the form (e.g. percentage)</t>
        </is>
      </c>
    </row>
    <row r="34">
      <c r="A34" s="6" t="inlineStr">
        <is>
          <t>question type</t>
        </is>
      </c>
      <c r="B34" s="6" t="inlineStr">
        <is>
          <t>note</t>
        </is>
      </c>
      <c r="C34" s="6" t="inlineStr">
        <is>
          <t>Explanatory text, no answer</t>
        </is>
      </c>
    </row>
    <row r="35">
      <c r="A35" s="6" t="inlineStr">
        <is>
          <t>flag rule</t>
        </is>
      </c>
      <c r="B35" s="6" t="inlineStr">
        <is>
          <t>missing_value</t>
        </is>
      </c>
      <c r="C35" s="6" t="inlineStr">
        <is>
          <t>Assigned indicator without a value (blocking)</t>
        </is>
      </c>
    </row>
    <row r="36">
      <c r="A36" s="6" t="inlineStr">
        <is>
          <t>flag rule</t>
        </is>
      </c>
      <c r="B36" s="6" t="inlineStr">
        <is>
          <t>out_of_range</t>
        </is>
      </c>
      <c r="C36" s="6" t="inlineStr">
        <is>
          <t>Value outside allowed range, e.g. % &gt; 100 (blocking)</t>
        </is>
      </c>
    </row>
    <row r="37">
      <c r="A37" s="6" t="inlineStr">
        <is>
          <t>flag rule</t>
        </is>
      </c>
      <c r="B37" s="6" t="inlineStr">
        <is>
          <t>missing_narrative</t>
        </is>
      </c>
      <c r="C37" s="6" t="inlineStr">
        <is>
          <t>Progress below 100% without narrative (warning)</t>
        </is>
      </c>
    </row>
    <row r="38">
      <c r="A38" s="6" t="inlineStr">
        <is>
          <t>flag rule</t>
        </is>
      </c>
      <c r="B38" s="6" t="inlineStr">
        <is>
          <t>missing_evidence</t>
        </is>
      </c>
      <c r="C38" s="6" t="inlineStr">
        <is>
          <t>No evidence file (warning)</t>
        </is>
      </c>
    </row>
    <row r="39">
      <c r="A39" s="6" t="inlineStr">
        <is>
          <t>flag rule</t>
        </is>
      </c>
      <c r="B39" s="6" t="inlineStr">
        <is>
          <t>large_change</t>
        </is>
      </c>
      <c r="C39" s="6" t="inlineStr">
        <is>
          <t>Value ≥ 3× last year's (warning)</t>
        </is>
      </c>
    </row>
    <row r="40">
      <c r="A40" s="6" t="inlineStr">
        <is>
          <t>flag rule</t>
        </is>
      </c>
      <c r="B40" s="6" t="inlineStr">
        <is>
          <t>duplicate_submission</t>
        </is>
      </c>
      <c r="C40" s="6" t="inlineStr">
        <is>
          <t>Second submission for same ministry and year (warning)</t>
        </is>
      </c>
    </row>
    <row r="41">
      <c r="A41" s="6" t="inlineStr">
        <is>
          <t>flag rule</t>
        </is>
      </c>
      <c r="B41" s="6" t="inlineStr">
        <is>
          <t>wrong_assignment</t>
        </is>
      </c>
      <c r="C41" s="6" t="inlineStr">
        <is>
          <t>Ministry reported an indicator it does not own (blocking)</t>
        </is>
      </c>
    </row>
    <row r="42">
      <c r="A42" s="6" t="inlineStr">
        <is>
          <t>cluster</t>
        </is>
      </c>
      <c r="B42" s="6" t="inlineStr">
        <is>
          <t>production</t>
        </is>
      </c>
      <c r="C42" s="6" t="inlineStr">
        <is>
          <t>Actions 1–17 (Goal 1)</t>
        </is>
      </c>
    </row>
    <row r="43">
      <c r="A43" s="6" t="inlineStr">
        <is>
          <t>cluster</t>
        </is>
      </c>
      <c r="B43" s="6" t="inlineStr">
        <is>
          <t>processing</t>
        </is>
      </c>
      <c r="C43" s="6" t="inlineStr">
        <is>
          <t>Actions 18–28 (Goal 2)</t>
        </is>
      </c>
    </row>
    <row r="44">
      <c r="A44" s="6" t="inlineStr">
        <is>
          <t>cluster</t>
        </is>
      </c>
      <c r="B44" s="6" t="inlineStr">
        <is>
          <t>export</t>
        </is>
      </c>
      <c r="C44" s="6" t="inlineStr">
        <is>
          <t>Actions 29–44 (Goal 3)</t>
        </is>
      </c>
    </row>
  </sheetData>
  <autoFilter ref="A1:C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zoomScale="10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4" customWidth="1" min="1" max="1"/>
    <col width="80" customWidth="1" min="2" max="2"/>
    <col width="50" customWidth="1" min="3" max="3"/>
  </cols>
  <sheetData>
    <row r="1">
      <c r="A1" s="5" t="inlineStr">
        <is>
          <t>Type</t>
        </is>
      </c>
      <c r="B1" s="5" t="inlineStr">
        <is>
          <t>Rule</t>
        </is>
      </c>
      <c r="C1" s="5" t="inlineStr">
        <is>
          <t>Why</t>
        </is>
      </c>
    </row>
    <row r="2">
      <c r="A2" s="6" t="inlineStr">
        <is>
          <t>Isolation</t>
        </is>
      </c>
      <c r="B2" s="6" t="inlineStr">
        <is>
          <t>Every row (except workspaces) has a workspace_id, and every link stays inside one workspace.</t>
        </is>
      </c>
      <c r="C2" s="6" t="inlineStr">
        <is>
          <t>A second policy/customer can never see Cashew data.</t>
        </is>
      </c>
    </row>
    <row r="3">
      <c r="A3" s="6" t="inlineStr">
        <is>
          <t>Uniqueness</t>
        </is>
      </c>
      <c r="B3" s="6" t="inlineStr">
        <is>
          <t>One submission per ministry, reporting year and form.</t>
        </is>
      </c>
      <c r="C3" s="6" t="inlineStr">
        <is>
          <t>Matches the manual: submit once per ministry per year.</t>
        </is>
      </c>
    </row>
    <row r="4">
      <c r="A4" s="6" t="inlineStr">
        <is>
          <t>Uniqueness</t>
        </is>
      </c>
      <c r="B4" s="6" t="inlineStr">
        <is>
          <t>One approved result per indicator and reporting year.</t>
        </is>
      </c>
      <c r="C4" s="6" t="inlineStr">
        <is>
          <t>Dashboards can never show two competing official values.</t>
        </is>
      </c>
    </row>
    <row r="5">
      <c r="A5" s="6" t="inlineStr">
        <is>
          <t>Uniqueness</t>
        </is>
      </c>
      <c r="B5" s="6" t="inlineStr">
        <is>
          <t>One lead ministry per action; each action indicator has exactly one reporting ministry.</t>
        </is>
      </c>
      <c r="C5" s="6" t="inlineStr">
        <is>
          <t>No double counting of joint actions.</t>
        </is>
      </c>
    </row>
    <row r="6">
      <c r="A6" s="6" t="inlineStr">
        <is>
          <t>Immutability</t>
        </is>
      </c>
      <c r="B6" s="6" t="inlineStr">
        <is>
          <t>A submitted revision's answers never change. Corrections create a new revision.</t>
        </is>
      </c>
      <c r="C6" s="6" t="inlineStr">
        <is>
          <t>Reviewers can always see what was originally sent.</t>
        </is>
      </c>
    </row>
    <row r="7">
      <c r="A7" s="6" t="inlineStr">
        <is>
          <t>Immutability</t>
        </is>
      </c>
      <c r="B7" s="6" t="inlineStr">
        <is>
          <t>Published form versions and report versions are frozen (checked by hash).</t>
        </is>
      </c>
      <c r="C7" s="6" t="inlineStr">
        <is>
          <t>Old reports keep their original numbers after corrections.</t>
        </is>
      </c>
    </row>
    <row r="8">
      <c r="A8" s="6" t="inlineStr">
        <is>
          <t>Immutability</t>
        </is>
      </c>
      <c r="B8" s="6" t="inlineStr">
        <is>
          <t>review_events and audit_events are insert-only; no one can edit or delete them.</t>
        </is>
      </c>
      <c r="C8" s="6" t="inlineStr">
        <is>
          <t>A trustworthy trail of decisions.</t>
        </is>
      </c>
    </row>
    <row r="9">
      <c r="A9" s="6" t="inlineStr">
        <is>
          <t>Versioning</t>
        </is>
      </c>
      <c r="B9" s="6" t="inlineStr">
        <is>
          <t>Changing an indicator's meaning, unit or formula creates a new indicator version; results keep the version they used.</t>
        </is>
      </c>
      <c r="C9" s="6" t="inlineStr">
        <is>
          <t>Historic results stay interpretable.</t>
        </is>
      </c>
    </row>
    <row r="10">
      <c r="A10" s="6" t="inlineStr">
        <is>
          <t>Versioning</t>
        </is>
      </c>
      <c r="B10" s="6" t="inlineStr">
        <is>
          <t>Target changes create a new target revision with a reason.</t>
        </is>
      </c>
      <c r="C10" s="6" t="inlineStr">
        <is>
          <t>Reports reference the target actually used.</t>
        </is>
      </c>
    </row>
    <row r="11">
      <c r="A11" s="6" t="inlineStr">
        <is>
          <t>Workflow</t>
        </is>
      </c>
      <c r="B11" s="6" t="inlineStr">
        <is>
          <t>Nobody approves a revision they entered, including the Administrator.</t>
        </is>
      </c>
      <c r="C11" s="6" t="inlineStr">
        <is>
          <t>Owner decision, 26 Sep 2026.</t>
        </is>
      </c>
    </row>
    <row r="12">
      <c r="A12" s="6" t="inlineStr">
        <is>
          <t>Workflow</t>
        </is>
      </c>
      <c r="B12" s="6" t="inlineStr">
        <is>
          <t>Returned and rejected decisions need a reason; approval needs the four verification checks and no open blocking flags.</t>
        </is>
      </c>
      <c r="C12" s="6" t="inlineStr">
        <is>
          <t>Manual section 3.1.</t>
        </is>
      </c>
    </row>
    <row r="13">
      <c r="A13" s="6" t="inlineStr">
        <is>
          <t>Workflow</t>
        </is>
      </c>
      <c r="B13" s="6" t="inlineStr">
        <is>
          <t>Approval and its audit event are saved together or not at all.</t>
        </is>
      </c>
      <c r="C13" s="6" t="inlineStr">
        <is>
          <t>No approval without a record.</t>
        </is>
      </c>
    </row>
    <row r="14">
      <c r="A14" s="6" t="inlineStr">
        <is>
          <t>Calculation</t>
        </is>
      </c>
      <c r="B14" s="6" t="inlineStr">
        <is>
          <t>pct_of_target is always calculated by the server from the value and the target, using the indicator's method.</t>
        </is>
      </c>
      <c r="C14" s="6" t="inlineStr">
        <is>
          <t>Nobody can type a different %.</t>
        </is>
      </c>
    </row>
    <row r="15">
      <c r="A15" s="6" t="inlineStr">
        <is>
          <t>Calculation</t>
        </is>
      </c>
      <c r="B15" s="6" t="inlineStr">
        <is>
          <t>Status uses the reporting year's thresholds, with % capped at 100 for status only.</t>
        </is>
      </c>
      <c r="C15" s="6" t="inlineStr">
        <is>
          <t>Same rule as workbook sheet 10_STATUS_THRESHOLDS.</t>
        </is>
      </c>
    </row>
    <row r="16">
      <c r="A16" s="6" t="inlineStr">
        <is>
          <t>Missing data</t>
        </is>
      </c>
      <c r="B16" s="6" t="inlineStr">
        <is>
          <t>Empty means no data and is never shown or counted as zero. Zero is a real value.</t>
        </is>
      </c>
      <c r="C16" s="6" t="inlineStr">
        <is>
          <t>Avoids false 'limited progress'.</t>
        </is>
      </c>
    </row>
    <row r="17">
      <c r="A17" s="6" t="inlineStr">
        <is>
          <t>Access</t>
        </is>
      </c>
      <c r="B17" s="6" t="inlineStr">
        <is>
          <t>Focal points read and write only their own ministry's submissions; the Committee reads approved results only; evidence downloads need reviewer or administrator rights.</t>
        </is>
      </c>
      <c r="C17" s="6" t="inlineStr">
        <is>
          <t>Pilot roles.</t>
        </is>
      </c>
    </row>
    <row r="18">
      <c r="A18" s="6" t="inlineStr">
        <is>
          <t>Deletion</t>
        </is>
      </c>
      <c r="B18" s="6" t="inlineStr">
        <is>
          <t>Ministries, indicators, users and approved records are archived or deactivated, never deleted.</t>
        </is>
      </c>
      <c r="C18" s="6" t="inlineStr">
        <is>
          <t>Keeps history and authorship.</t>
        </is>
      </c>
    </row>
    <row r="19">
      <c r="A19" s="6" t="inlineStr">
        <is>
          <t>Personal data</t>
        </is>
      </c>
      <c r="B19" s="6" t="inlineStr">
        <is>
          <t>Respondent name and phone are visible to the M&amp;E team only and excluded from exports to the Committee.</t>
        </is>
      </c>
      <c r="C19" s="6" t="inlineStr">
        <is>
          <t>Minimum personal data.</t>
        </is>
      </c>
    </row>
  </sheetData>
  <autoFilter ref="A1:C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zoomScale="10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5" customWidth="1" min="1" max="1"/>
    <col width="80" customWidth="1" min="2" max="2"/>
    <col width="14" customWidth="1" min="3" max="3"/>
    <col width="40" customWidth="1" min="4" max="4"/>
    <col width="20" customWidth="1" min="5" max="5"/>
  </cols>
  <sheetData>
    <row r="1">
      <c r="A1" s="5" t="inlineStr">
        <is>
          <t>#</t>
        </is>
      </c>
      <c r="B1" s="5" t="inlineStr">
        <is>
          <t>Question</t>
        </is>
      </c>
      <c r="C1" s="5" t="inlineStr">
        <is>
          <t>Family</t>
        </is>
      </c>
      <c r="D1" s="5" t="inlineStr">
        <is>
          <t>Answer (Secretariat)</t>
        </is>
      </c>
      <c r="E1" s="5" t="inlineStr">
        <is>
          <t>Answered by / date</t>
        </is>
      </c>
    </row>
    <row r="2">
      <c r="A2" s="6" t="inlineStr">
        <is>
          <t>Q1</t>
        </is>
      </c>
      <c r="B2" s="6" t="inlineStr">
        <is>
          <t>One programme per ministry: is this right for all 17 institutions (e.g. NBC, CDC, CMAA)?</t>
        </is>
      </c>
      <c r="C2" s="6" t="inlineStr">
        <is>
          <t>Structure</t>
        </is>
      </c>
      <c r="D2" s="8" t="n"/>
      <c r="E2" s="8" t="n"/>
    </row>
    <row r="3">
      <c r="A3" s="6" t="inlineStr">
        <is>
          <t>Q2</t>
        </is>
      </c>
      <c r="B3" s="6" t="inlineStr">
        <is>
          <t>Does every action indicator always have exactly one reporting ministry?</t>
        </is>
      </c>
      <c r="C3" s="6" t="inlineStr">
        <is>
          <t>Structure</t>
        </is>
      </c>
      <c r="D3" s="8" t="n"/>
      <c r="E3" s="8" t="n"/>
    </row>
    <row r="4">
      <c r="A4" s="6" t="inlineStr">
        <is>
          <t>Q3</t>
        </is>
      </c>
      <c r="B4" s="6" t="inlineStr">
        <is>
          <t>Annual reporting only for the pilot, or quarterly for some data (e.g. GDCE exports)?</t>
        </is>
      </c>
      <c r="C4" s="6" t="inlineStr">
        <is>
          <t>Indicators</t>
        </is>
      </c>
      <c r="D4" s="8" t="n"/>
      <c r="E4" s="8" t="n"/>
    </row>
    <row r="5">
      <c r="A5" s="6" t="inlineStr">
        <is>
          <t>Q4</t>
        </is>
      </c>
      <c r="B5" s="6" t="inlineStr">
        <is>
          <t>Where are evidence files stored: Vercel Blob, Supabase Storage, or left in Kobo with links?</t>
        </is>
      </c>
      <c r="C5" s="6" t="inlineStr">
        <is>
          <t>Collection</t>
        </is>
      </c>
      <c r="D5" s="8" t="n"/>
      <c r="E5" s="8" t="n"/>
    </row>
    <row r="6">
      <c r="A6" s="6" t="inlineStr">
        <is>
          <t>Q5</t>
        </is>
      </c>
      <c r="B6" s="6" t="inlineStr">
        <is>
          <t>Should respondent name and phone be stored at all, or only the platform user who submitted?</t>
        </is>
      </c>
      <c r="C6" s="6" t="inlineStr">
        <is>
          <t>Collection</t>
        </is>
      </c>
      <c r="D6" s="8" t="n"/>
      <c r="E6" s="8" t="n"/>
    </row>
    <row r="7">
      <c r="A7" s="6" t="inlineStr">
        <is>
          <t>Q6</t>
        </is>
      </c>
      <c r="B7" s="6" t="inlineStr">
        <is>
          <t>How long are evidence files and submissions kept (retention period)?</t>
        </is>
      </c>
      <c r="C7" s="6" t="inlineStr">
        <is>
          <t>Control</t>
        </is>
      </c>
      <c r="D7" s="8" t="n"/>
      <c r="E7" s="8" t="n"/>
    </row>
    <row r="8">
      <c r="A8" s="6" t="inlineStr">
        <is>
          <t>Q7</t>
        </is>
      </c>
      <c r="B8" s="6" t="inlineStr">
        <is>
          <t>Should the 2025 data be loaded as approved history, and the 2026 illustrative records left out?</t>
        </is>
      </c>
      <c r="C8" s="6" t="inlineStr">
        <is>
          <t>Results</t>
        </is>
      </c>
      <c r="D8" s="8" t="n"/>
      <c r="E8" s="8" t="n"/>
    </row>
    <row r="9">
      <c r="A9" s="6" t="inlineStr">
        <is>
          <t>Q8</t>
        </is>
      </c>
      <c r="B9" s="6" t="inlineStr">
        <is>
          <t>Import run table (Kobo sync history) is left for release R2. Agree?</t>
        </is>
      </c>
      <c r="C9" s="6" t="inlineStr">
        <is>
          <t>Control</t>
        </is>
      </c>
      <c r="D9" s="8" t="n"/>
      <c r="E9" s="8" t="n"/>
    </row>
  </sheetData>
  <autoFilter ref="A1:E9"/>
  <dataValidations count="1">
    <dataValidation sqref="C2:C9" showDropDown="0" showInputMessage="0" showErrorMessage="0" allowBlank="1" type="list">
      <formula1>"Structure,Indicators,Collection,Review,Results,Reports,Users &amp; access,Control"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2026-09-27T02:11:16Z</dcterms:created>
  <dcterms:modified xmlns:dcterms="http://purl.org/dc/terms/" xmlns:xsi="http://www.w3.org/2001/XMLSchema-instance" xsi:type="dcterms:W3CDTF">2026-09-27T02:11:16Z</dcterms:modified>
</cp:coreProperties>
</file>